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1.chen\Desktop\Analysis-Report-WR-CN\"/>
    </mc:Choice>
  </mc:AlternateContent>
  <xr:revisionPtr revIDLastSave="0" documentId="13_ncr:1_{01EFC9EB-5120-43ED-850C-ECCD77D8425B}" xr6:coauthVersionLast="36" xr6:coauthVersionMax="36" xr10:uidLastSave="{00000000-0000-0000-0000-000000000000}"/>
  <bookViews>
    <workbookView xWindow="0" yWindow="0" windowWidth="21570" windowHeight="7230" activeTab="11" xr2:uid="{00000000-000D-0000-FFFF-FFFF00000000}"/>
  </bookViews>
  <sheets>
    <sheet name="DP1" sheetId="2" r:id="rId1"/>
    <sheet name="DP2" sheetId="3" r:id="rId2"/>
    <sheet name="DP3" sheetId="4" r:id="rId3"/>
    <sheet name="DP4" sheetId="5" r:id="rId4"/>
    <sheet name="DP5" sheetId="6" r:id="rId5"/>
    <sheet name="DP6" sheetId="7" r:id="rId6"/>
    <sheet name="DP7" sheetId="8" r:id="rId7"/>
    <sheet name="DP8" sheetId="9" r:id="rId8"/>
    <sheet name="DP9" sheetId="10" r:id="rId9"/>
    <sheet name="DP10" sheetId="11" r:id="rId10"/>
    <sheet name="DP11" sheetId="12" r:id="rId11"/>
    <sheet name="DP12" sheetId="13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" i="13" l="1"/>
  <c r="F11" i="13"/>
  <c r="U10" i="13"/>
  <c r="R10" i="13"/>
  <c r="O10" i="13"/>
  <c r="L10" i="13"/>
  <c r="I10" i="13"/>
  <c r="F10" i="13"/>
  <c r="C10" i="13"/>
  <c r="U9" i="13"/>
  <c r="R9" i="13"/>
  <c r="O9" i="13"/>
  <c r="L9" i="13"/>
  <c r="I9" i="13"/>
  <c r="F9" i="13"/>
  <c r="C9" i="13"/>
  <c r="U8" i="13"/>
  <c r="R8" i="13"/>
  <c r="O8" i="13"/>
  <c r="O12" i="13" s="1"/>
  <c r="L8" i="13"/>
  <c r="I8" i="13"/>
  <c r="F8" i="13"/>
  <c r="F12" i="13" s="1"/>
  <c r="C8" i="13"/>
  <c r="U7" i="13"/>
  <c r="U11" i="13" s="1"/>
  <c r="R7" i="13"/>
  <c r="R11" i="13" s="1"/>
  <c r="L7" i="13"/>
  <c r="L11" i="13" s="1"/>
  <c r="I7" i="13"/>
  <c r="I11" i="13" s="1"/>
  <c r="C7" i="13"/>
  <c r="C11" i="13" s="1"/>
  <c r="X9" i="12"/>
  <c r="AJ8" i="12"/>
  <c r="AG8" i="12"/>
  <c r="AD8" i="12"/>
  <c r="AA8" i="12"/>
  <c r="X8" i="12"/>
  <c r="U8" i="12"/>
  <c r="R8" i="12"/>
  <c r="O8" i="12"/>
  <c r="L8" i="12"/>
  <c r="I8" i="12"/>
  <c r="AJ7" i="12"/>
  <c r="AG7" i="12"/>
  <c r="AD7" i="12"/>
  <c r="AA7" i="12"/>
  <c r="X7" i="12"/>
  <c r="U7" i="12"/>
  <c r="R7" i="12"/>
  <c r="O7" i="12"/>
  <c r="L7" i="12"/>
  <c r="I7" i="12"/>
  <c r="F7" i="12"/>
  <c r="C7" i="12"/>
  <c r="AJ6" i="12"/>
  <c r="AJ9" i="12" s="1"/>
  <c r="AG6" i="12"/>
  <c r="AG9" i="12" s="1"/>
  <c r="AD6" i="12"/>
  <c r="AD9" i="12" s="1"/>
  <c r="AA6" i="12"/>
  <c r="AA9" i="12" s="1"/>
  <c r="X6" i="12"/>
  <c r="U6" i="12"/>
  <c r="U9" i="12" s="1"/>
  <c r="R6" i="12"/>
  <c r="R9" i="12" s="1"/>
  <c r="O6" i="12"/>
  <c r="O9" i="12" s="1"/>
  <c r="L6" i="12"/>
  <c r="L9" i="12" s="1"/>
  <c r="I6" i="12"/>
  <c r="I9" i="12" s="1"/>
  <c r="F6" i="12"/>
  <c r="C6" i="12"/>
  <c r="F5" i="12"/>
  <c r="F8" i="12" s="1"/>
  <c r="C5" i="12"/>
  <c r="C8" i="12" s="1"/>
  <c r="R27" i="11"/>
  <c r="I27" i="11"/>
  <c r="F27" i="11"/>
  <c r="R26" i="11"/>
  <c r="I26" i="11"/>
  <c r="F26" i="11"/>
  <c r="R25" i="11"/>
  <c r="I25" i="11"/>
  <c r="F25" i="11"/>
  <c r="R24" i="11"/>
  <c r="I24" i="11"/>
  <c r="F24" i="11"/>
  <c r="R23" i="11"/>
  <c r="R28" i="11" s="1"/>
  <c r="I23" i="11"/>
  <c r="I28" i="11" s="1"/>
  <c r="F23" i="11"/>
  <c r="F28" i="11" s="1"/>
  <c r="U22" i="11"/>
  <c r="O22" i="11"/>
  <c r="L22" i="11"/>
  <c r="C22" i="11"/>
  <c r="U21" i="11"/>
  <c r="O21" i="11"/>
  <c r="L21" i="11"/>
  <c r="C21" i="11"/>
  <c r="U20" i="11"/>
  <c r="O20" i="11"/>
  <c r="L20" i="11"/>
  <c r="C20" i="11"/>
  <c r="U19" i="11"/>
  <c r="O19" i="11"/>
  <c r="L19" i="11"/>
  <c r="C19" i="11"/>
  <c r="U18" i="11"/>
  <c r="U23" i="11" s="1"/>
  <c r="O18" i="11"/>
  <c r="O23" i="11" s="1"/>
  <c r="L18" i="11"/>
  <c r="L23" i="11" s="1"/>
  <c r="C18" i="11"/>
  <c r="C23" i="11" s="1"/>
  <c r="AF9" i="11"/>
  <c r="AF8" i="11"/>
  <c r="AD8" i="11"/>
  <c r="AA8" i="11"/>
  <c r="AF7" i="11"/>
  <c r="AD7" i="11"/>
  <c r="AA7" i="11"/>
  <c r="X7" i="11"/>
  <c r="AF6" i="11"/>
  <c r="AF10" i="11" s="1"/>
  <c r="AD6" i="11"/>
  <c r="AD9" i="11" s="1"/>
  <c r="AA6" i="11"/>
  <c r="AA9" i="11" s="1"/>
  <c r="X6" i="11"/>
  <c r="X5" i="11"/>
  <c r="X8" i="11" s="1"/>
  <c r="I13" i="10"/>
  <c r="I12" i="10"/>
  <c r="I11" i="10"/>
  <c r="O10" i="10"/>
  <c r="L10" i="10"/>
  <c r="I10" i="10"/>
  <c r="F10" i="10"/>
  <c r="F11" i="10" s="1"/>
  <c r="C10" i="10"/>
  <c r="T9" i="10"/>
  <c r="Q9" i="10"/>
  <c r="O9" i="10"/>
  <c r="L9" i="10"/>
  <c r="I9" i="10"/>
  <c r="F9" i="10"/>
  <c r="C9" i="10"/>
  <c r="W8" i="10"/>
  <c r="T8" i="10"/>
  <c r="Q8" i="10"/>
  <c r="Q10" i="10" s="1"/>
  <c r="O8" i="10"/>
  <c r="L8" i="10"/>
  <c r="I8" i="10"/>
  <c r="F8" i="10"/>
  <c r="C8" i="10"/>
  <c r="AC7" i="10"/>
  <c r="W7" i="10"/>
  <c r="T7" i="10"/>
  <c r="Q7" i="10"/>
  <c r="O7" i="10"/>
  <c r="O11" i="10" s="1"/>
  <c r="L7" i="10"/>
  <c r="L11" i="10" s="1"/>
  <c r="F7" i="10"/>
  <c r="C7" i="10"/>
  <c r="C11" i="10" s="1"/>
  <c r="Z6" i="10"/>
  <c r="W6" i="10"/>
  <c r="W9" i="10" s="1"/>
  <c r="T6" i="10"/>
  <c r="T10" i="10" s="1"/>
  <c r="Q6" i="10"/>
  <c r="Z5" i="10"/>
  <c r="Z7" i="10" s="1"/>
  <c r="R22" i="9"/>
  <c r="R21" i="9"/>
  <c r="R20" i="9"/>
  <c r="R19" i="9"/>
  <c r="R23" i="9" s="1"/>
  <c r="R18" i="9"/>
  <c r="I11" i="9"/>
  <c r="F11" i="9"/>
  <c r="O10" i="9"/>
  <c r="L10" i="9"/>
  <c r="I10" i="9"/>
  <c r="F10" i="9"/>
  <c r="C10" i="9"/>
  <c r="AA9" i="9"/>
  <c r="X9" i="9"/>
  <c r="U9" i="9"/>
  <c r="O9" i="9"/>
  <c r="L9" i="9"/>
  <c r="I9" i="9"/>
  <c r="F9" i="9"/>
  <c r="C9" i="9"/>
  <c r="AA8" i="9"/>
  <c r="X8" i="9"/>
  <c r="U8" i="9"/>
  <c r="O8" i="9"/>
  <c r="L8" i="9"/>
  <c r="L11" i="9" s="1"/>
  <c r="I8" i="9"/>
  <c r="I12" i="9" s="1"/>
  <c r="F8" i="9"/>
  <c r="F12" i="9" s="1"/>
  <c r="C8" i="9"/>
  <c r="C11" i="9" s="1"/>
  <c r="AA7" i="9"/>
  <c r="AA10" i="9" s="1"/>
  <c r="X7" i="9"/>
  <c r="U7" i="9"/>
  <c r="U10" i="9" s="1"/>
  <c r="O7" i="9"/>
  <c r="O11" i="9" s="1"/>
  <c r="L7" i="9"/>
  <c r="C7" i="9"/>
  <c r="X6" i="9"/>
  <c r="X10" i="9" s="1"/>
  <c r="U6" i="9"/>
  <c r="AG13" i="8"/>
  <c r="L13" i="8"/>
  <c r="AG12" i="8"/>
  <c r="AD12" i="8"/>
  <c r="AA12" i="8"/>
  <c r="X12" i="8"/>
  <c r="U12" i="8"/>
  <c r="R12" i="8"/>
  <c r="O12" i="8"/>
  <c r="L12" i="8"/>
  <c r="I12" i="8"/>
  <c r="F12" i="8"/>
  <c r="C12" i="8"/>
  <c r="AR11" i="8"/>
  <c r="AO11" i="8"/>
  <c r="AM11" i="8"/>
  <c r="AJ11" i="8"/>
  <c r="AG11" i="8"/>
  <c r="AD11" i="8"/>
  <c r="AA11" i="8"/>
  <c r="X11" i="8"/>
  <c r="U11" i="8"/>
  <c r="R11" i="8"/>
  <c r="O11" i="8"/>
  <c r="L11" i="8"/>
  <c r="I11" i="8"/>
  <c r="F11" i="8"/>
  <c r="C11" i="8"/>
  <c r="AR10" i="8"/>
  <c r="AO10" i="8"/>
  <c r="AO12" i="8" s="1"/>
  <c r="AM10" i="8"/>
  <c r="AJ10" i="8"/>
  <c r="AG10" i="8"/>
  <c r="AD10" i="8"/>
  <c r="AD13" i="8" s="1"/>
  <c r="AA10" i="8"/>
  <c r="AA13" i="8" s="1"/>
  <c r="X10" i="8"/>
  <c r="X13" i="8" s="1"/>
  <c r="U10" i="8"/>
  <c r="U13" i="8" s="1"/>
  <c r="R10" i="8"/>
  <c r="R13" i="8" s="1"/>
  <c r="O10" i="8"/>
  <c r="O13" i="8" s="1"/>
  <c r="L10" i="8"/>
  <c r="I10" i="8"/>
  <c r="I13" i="8" s="1"/>
  <c r="F10" i="8"/>
  <c r="F13" i="8" s="1"/>
  <c r="C10" i="8"/>
  <c r="C13" i="8" s="1"/>
  <c r="AU9" i="8"/>
  <c r="AR9" i="8"/>
  <c r="AR12" i="8" s="1"/>
  <c r="AO9" i="8"/>
  <c r="AM9" i="8"/>
  <c r="AM12" i="8" s="1"/>
  <c r="AJ9" i="8"/>
  <c r="AJ12" i="8" s="1"/>
  <c r="BG8" i="8"/>
  <c r="BD8" i="8"/>
  <c r="BA8" i="8"/>
  <c r="AX8" i="8"/>
  <c r="AU8" i="8"/>
  <c r="AU10" i="8" s="1"/>
  <c r="X18" i="6"/>
  <c r="X17" i="6"/>
  <c r="X16" i="6"/>
  <c r="BG15" i="6"/>
  <c r="X15" i="6"/>
  <c r="BD14" i="6"/>
  <c r="AM13" i="6"/>
  <c r="AJ13" i="6"/>
  <c r="AG13" i="6"/>
  <c r="AD13" i="6"/>
  <c r="AA13" i="6"/>
  <c r="BA12" i="6"/>
  <c r="AM12" i="6"/>
  <c r="AJ12" i="6"/>
  <c r="AG12" i="6"/>
  <c r="AD12" i="6"/>
  <c r="AA12" i="6"/>
  <c r="U12" i="6"/>
  <c r="R12" i="6"/>
  <c r="I12" i="6"/>
  <c r="F12" i="6"/>
  <c r="AX11" i="6"/>
  <c r="AM11" i="6"/>
  <c r="AM14" i="6" s="1"/>
  <c r="AJ11" i="6"/>
  <c r="AJ14" i="6" s="1"/>
  <c r="AG11" i="6"/>
  <c r="AG14" i="6" s="1"/>
  <c r="AD11" i="6"/>
  <c r="AD14" i="6" s="1"/>
  <c r="AA11" i="6"/>
  <c r="AA14" i="6" s="1"/>
  <c r="U11" i="6"/>
  <c r="R11" i="6"/>
  <c r="R13" i="6" s="1"/>
  <c r="O11" i="6"/>
  <c r="L11" i="6"/>
  <c r="I11" i="6"/>
  <c r="F11" i="6"/>
  <c r="C11" i="6"/>
  <c r="AX10" i="6"/>
  <c r="AX12" i="6" s="1"/>
  <c r="AU10" i="6"/>
  <c r="AR10" i="6"/>
  <c r="AO10" i="6"/>
  <c r="U10" i="6"/>
  <c r="O10" i="6"/>
  <c r="O12" i="6" s="1"/>
  <c r="L10" i="6"/>
  <c r="L12" i="6" s="1"/>
  <c r="I10" i="6"/>
  <c r="F10" i="6"/>
  <c r="C10" i="6"/>
  <c r="C12" i="6" s="1"/>
  <c r="AU9" i="6"/>
  <c r="AU11" i="6" s="1"/>
  <c r="AR9" i="6"/>
  <c r="AR11" i="6" s="1"/>
  <c r="AO9" i="6"/>
  <c r="AO11" i="6" s="1"/>
  <c r="C15" i="5"/>
  <c r="BA14" i="5"/>
  <c r="F14" i="5"/>
  <c r="C14" i="5"/>
  <c r="BG13" i="5"/>
  <c r="BD13" i="5"/>
  <c r="BA13" i="5"/>
  <c r="AX13" i="5"/>
  <c r="X13" i="5"/>
  <c r="U13" i="5"/>
  <c r="U14" i="5" s="1"/>
  <c r="R13" i="5"/>
  <c r="F13" i="5"/>
  <c r="C13" i="5"/>
  <c r="BA12" i="5"/>
  <c r="AX12" i="5"/>
  <c r="AX14" i="5" s="1"/>
  <c r="AD12" i="5"/>
  <c r="X12" i="5"/>
  <c r="X14" i="5" s="1"/>
  <c r="U12" i="5"/>
  <c r="R12" i="5"/>
  <c r="L12" i="5"/>
  <c r="I12" i="5"/>
  <c r="F12" i="5"/>
  <c r="AU11" i="5"/>
  <c r="AR11" i="5"/>
  <c r="AO11" i="5"/>
  <c r="AM11" i="5"/>
  <c r="AM12" i="5" s="1"/>
  <c r="AJ11" i="5"/>
  <c r="AD11" i="5"/>
  <c r="R11" i="5"/>
  <c r="O11" i="5"/>
  <c r="O12" i="5" s="1"/>
  <c r="L11" i="5"/>
  <c r="L13" i="5" s="1"/>
  <c r="I11" i="5"/>
  <c r="I13" i="5" s="1"/>
  <c r="AU10" i="5"/>
  <c r="AU12" i="5" s="1"/>
  <c r="AR10" i="5"/>
  <c r="AR12" i="5" s="1"/>
  <c r="AO10" i="5"/>
  <c r="AO12" i="5" s="1"/>
  <c r="AM10" i="5"/>
  <c r="AJ10" i="5"/>
  <c r="AG10" i="5"/>
  <c r="AD10" i="5"/>
  <c r="AA10" i="5"/>
  <c r="O10" i="5"/>
  <c r="AJ9" i="5"/>
  <c r="AG9" i="5"/>
  <c r="AA9" i="5"/>
  <c r="AA11" i="5" s="1"/>
  <c r="BG45" i="4"/>
  <c r="BD35" i="4"/>
  <c r="Q33" i="4"/>
  <c r="BA32" i="4"/>
  <c r="AX32" i="4"/>
  <c r="AU32" i="4"/>
  <c r="AR32" i="4"/>
  <c r="AR33" i="4" s="1"/>
  <c r="AO32" i="4"/>
  <c r="Q32" i="4"/>
  <c r="AX31" i="4"/>
  <c r="AU31" i="4"/>
  <c r="AR31" i="4"/>
  <c r="AO31" i="4"/>
  <c r="Q31" i="4"/>
  <c r="AX30" i="4"/>
  <c r="AX33" i="4" s="1"/>
  <c r="AU30" i="4"/>
  <c r="AU33" i="4" s="1"/>
  <c r="AR30" i="4"/>
  <c r="AO30" i="4"/>
  <c r="Q30" i="4"/>
  <c r="AO29" i="4"/>
  <c r="W29" i="4"/>
  <c r="T29" i="4"/>
  <c r="W28" i="4"/>
  <c r="W30" i="4" s="1"/>
  <c r="T28" i="4"/>
  <c r="T30" i="4" s="1"/>
  <c r="E28" i="4"/>
  <c r="B28" i="4"/>
  <c r="W27" i="4"/>
  <c r="T27" i="4"/>
  <c r="N27" i="4"/>
  <c r="K27" i="4"/>
  <c r="H27" i="4"/>
  <c r="E27" i="4"/>
  <c r="B27" i="4"/>
  <c r="N26" i="4"/>
  <c r="K26" i="4"/>
  <c r="H26" i="4"/>
  <c r="E26" i="4"/>
  <c r="E29" i="4" s="1"/>
  <c r="B26" i="4"/>
  <c r="N25" i="4"/>
  <c r="N28" i="4" s="1"/>
  <c r="K25" i="4"/>
  <c r="K28" i="4" s="1"/>
  <c r="H25" i="4"/>
  <c r="H28" i="4" s="1"/>
  <c r="AL24" i="4"/>
  <c r="AI24" i="4"/>
  <c r="AF24" i="4"/>
  <c r="AC24" i="4"/>
  <c r="Z24" i="4"/>
  <c r="AL23" i="4"/>
  <c r="AI23" i="4"/>
  <c r="AF23" i="4"/>
  <c r="AC23" i="4"/>
  <c r="Z23" i="4"/>
  <c r="AL22" i="4"/>
  <c r="AI22" i="4"/>
  <c r="AF22" i="4"/>
  <c r="AC22" i="4"/>
  <c r="Z22" i="4"/>
  <c r="AL21" i="4"/>
  <c r="AL25" i="4" s="1"/>
  <c r="AI21" i="4"/>
  <c r="AI25" i="4" s="1"/>
  <c r="AF21" i="4"/>
  <c r="AF25" i="4" s="1"/>
  <c r="AC21" i="4"/>
  <c r="AC25" i="4" s="1"/>
  <c r="Z21" i="4"/>
  <c r="Z25" i="4" s="1"/>
  <c r="C49" i="3"/>
  <c r="C48" i="3"/>
  <c r="C47" i="3"/>
  <c r="C46" i="3"/>
  <c r="C50" i="3" s="1"/>
  <c r="AX45" i="3"/>
  <c r="X45" i="3"/>
  <c r="U45" i="3"/>
  <c r="F45" i="3"/>
  <c r="AX44" i="3"/>
  <c r="X44" i="3"/>
  <c r="U44" i="3"/>
  <c r="F44" i="3"/>
  <c r="AX43" i="3"/>
  <c r="X43" i="3"/>
  <c r="U43" i="3"/>
  <c r="U46" i="3" s="1"/>
  <c r="F43" i="3"/>
  <c r="F46" i="3" s="1"/>
  <c r="BG42" i="3"/>
  <c r="BD42" i="3"/>
  <c r="AX42" i="3"/>
  <c r="X42" i="3"/>
  <c r="X46" i="3" s="1"/>
  <c r="U42" i="3"/>
  <c r="F42" i="3"/>
  <c r="R41" i="3"/>
  <c r="L41" i="3"/>
  <c r="I41" i="3"/>
  <c r="R40" i="3"/>
  <c r="L40" i="3"/>
  <c r="L42" i="3" s="1"/>
  <c r="I40" i="3"/>
  <c r="AU39" i="3"/>
  <c r="AR39" i="3"/>
  <c r="AO39" i="3"/>
  <c r="AM39" i="3"/>
  <c r="AD39" i="3"/>
  <c r="R39" i="3"/>
  <c r="L39" i="3"/>
  <c r="I39" i="3"/>
  <c r="AU38" i="3"/>
  <c r="AR38" i="3"/>
  <c r="AO38" i="3"/>
  <c r="AM38" i="3"/>
  <c r="AD38" i="3"/>
  <c r="R38" i="3"/>
  <c r="R42" i="3" s="1"/>
  <c r="L38" i="3"/>
  <c r="I38" i="3"/>
  <c r="I42" i="3" s="1"/>
  <c r="AU37" i="3"/>
  <c r="AR37" i="3"/>
  <c r="AO37" i="3"/>
  <c r="AM37" i="3"/>
  <c r="AD37" i="3"/>
  <c r="O37" i="3"/>
  <c r="AU36" i="3"/>
  <c r="AR36" i="3"/>
  <c r="AO36" i="3"/>
  <c r="AM36" i="3"/>
  <c r="AD36" i="3"/>
  <c r="O36" i="3"/>
  <c r="AU35" i="3"/>
  <c r="AU40" i="3" s="1"/>
  <c r="AR35" i="3"/>
  <c r="AR40" i="3" s="1"/>
  <c r="AO35" i="3"/>
  <c r="AO40" i="3" s="1"/>
  <c r="AM35" i="3"/>
  <c r="AM40" i="3" s="1"/>
  <c r="AJ35" i="3"/>
  <c r="AD35" i="3"/>
  <c r="AD40" i="3" s="1"/>
  <c r="AA35" i="3"/>
  <c r="O35" i="3"/>
  <c r="O38" i="3" s="1"/>
  <c r="AJ34" i="3"/>
  <c r="AA34" i="3"/>
  <c r="O34" i="3"/>
  <c r="AJ33" i="3"/>
  <c r="AG33" i="3"/>
  <c r="AA33" i="3"/>
  <c r="AJ32" i="3"/>
  <c r="AJ36" i="3" s="1"/>
  <c r="AG32" i="3"/>
  <c r="AA32" i="3"/>
  <c r="AJ31" i="3"/>
  <c r="AG31" i="3"/>
  <c r="AG34" i="3" s="1"/>
  <c r="AA31" i="3"/>
  <c r="AA36" i="3" s="1"/>
  <c r="AJ70" i="2"/>
  <c r="AJ69" i="2"/>
  <c r="AG69" i="2"/>
  <c r="AJ68" i="2"/>
  <c r="AG68" i="2"/>
  <c r="AJ67" i="2"/>
  <c r="AG67" i="2"/>
  <c r="AJ66" i="2"/>
  <c r="AJ71" i="2" s="1"/>
  <c r="AG66" i="2"/>
  <c r="AG65" i="2"/>
  <c r="AG70" i="2" s="1"/>
  <c r="AD60" i="2"/>
  <c r="AA60" i="2"/>
  <c r="AD59" i="2"/>
  <c r="AA59" i="2"/>
  <c r="BG58" i="2"/>
  <c r="BD58" i="2"/>
  <c r="BA58" i="2"/>
  <c r="AD58" i="2"/>
  <c r="AA58" i="2"/>
  <c r="AX57" i="2"/>
  <c r="AD57" i="2"/>
  <c r="AA57" i="2"/>
  <c r="AX56" i="2"/>
  <c r="AD56" i="2"/>
  <c r="AD61" i="2" s="1"/>
  <c r="AA56" i="2"/>
  <c r="AA61" i="2" s="1"/>
  <c r="X56" i="2"/>
  <c r="U56" i="2"/>
  <c r="AX55" i="2"/>
  <c r="AU55" i="2"/>
  <c r="X55" i="2"/>
  <c r="U55" i="2"/>
  <c r="AX54" i="2"/>
  <c r="AU54" i="2"/>
  <c r="AM54" i="2"/>
  <c r="X54" i="2"/>
  <c r="U54" i="2"/>
  <c r="AX53" i="2"/>
  <c r="AX58" i="2" s="1"/>
  <c r="AU53" i="2"/>
  <c r="AM53" i="2"/>
  <c r="X53" i="2"/>
  <c r="U53" i="2"/>
  <c r="R53" i="2"/>
  <c r="AX52" i="2"/>
  <c r="AU52" i="2"/>
  <c r="AR52" i="2"/>
  <c r="AM52" i="2"/>
  <c r="X52" i="2"/>
  <c r="X57" i="2" s="1"/>
  <c r="U52" i="2"/>
  <c r="U57" i="2" s="1"/>
  <c r="R52" i="2"/>
  <c r="AU51" i="2"/>
  <c r="AR51" i="2"/>
  <c r="AM51" i="2"/>
  <c r="R51" i="2"/>
  <c r="O51" i="2"/>
  <c r="L51" i="2"/>
  <c r="AU50" i="2"/>
  <c r="AR50" i="2"/>
  <c r="AM50" i="2"/>
  <c r="AM55" i="2" s="1"/>
  <c r="R50" i="2"/>
  <c r="O50" i="2"/>
  <c r="L50" i="2"/>
  <c r="I50" i="2"/>
  <c r="AR49" i="2"/>
  <c r="R49" i="2"/>
  <c r="R54" i="2" s="1"/>
  <c r="O49" i="2"/>
  <c r="L49" i="2"/>
  <c r="I49" i="2"/>
  <c r="C49" i="2"/>
  <c r="AR48" i="2"/>
  <c r="AR53" i="2" s="1"/>
  <c r="AO48" i="2"/>
  <c r="O48" i="2"/>
  <c r="L48" i="2"/>
  <c r="I48" i="2"/>
  <c r="C48" i="2"/>
  <c r="AO47" i="2"/>
  <c r="O47" i="2"/>
  <c r="O52" i="2" s="1"/>
  <c r="L47" i="2"/>
  <c r="L52" i="2" s="1"/>
  <c r="I47" i="2"/>
  <c r="C47" i="2"/>
  <c r="AO46" i="2"/>
  <c r="I46" i="2"/>
  <c r="I51" i="2" s="1"/>
  <c r="C46" i="2"/>
  <c r="AO45" i="2"/>
  <c r="F45" i="2"/>
  <c r="C45" i="2"/>
  <c r="C50" i="2" s="1"/>
  <c r="AO44" i="2"/>
  <c r="AO49" i="2" s="1"/>
  <c r="F44" i="2"/>
  <c r="F43" i="2"/>
  <c r="F42" i="2"/>
  <c r="F41" i="2"/>
  <c r="F46" i="2" s="1"/>
</calcChain>
</file>

<file path=xl/sharedStrings.xml><?xml version="1.0" encoding="utf-8"?>
<sst xmlns="http://schemas.openxmlformats.org/spreadsheetml/2006/main" count="7478" uniqueCount="1490">
  <si>
    <t>概率</t>
  </si>
  <si>
    <t>Dux</t>
  </si>
  <si>
    <t>杜克斯</t>
  </si>
  <si>
    <t>Nuo</t>
  </si>
  <si>
    <t>诺欧</t>
  </si>
  <si>
    <t>Lio</t>
  </si>
  <si>
    <t>里奥</t>
  </si>
  <si>
    <t>Ravager</t>
  </si>
  <si>
    <t>毁坏者</t>
  </si>
  <si>
    <t>SWORD Unit-190</t>
  </si>
  <si>
    <t>天剑190式</t>
  </si>
  <si>
    <t>Shenlou</t>
  </si>
  <si>
    <t>蜃楼</t>
  </si>
  <si>
    <t>Curie</t>
  </si>
  <si>
    <t>居里</t>
  </si>
  <si>
    <t>Ochokochi</t>
  </si>
  <si>
    <t>奥乔科奇</t>
  </si>
  <si>
    <t>Imugi</t>
  </si>
  <si>
    <t>螭兽</t>
  </si>
  <si>
    <t>Lynx</t>
  </si>
  <si>
    <t>猞猁</t>
  </si>
  <si>
    <t>Dagon</t>
  </si>
  <si>
    <t>达贡</t>
  </si>
  <si>
    <t>Ophion</t>
  </si>
  <si>
    <t>俄菲翁</t>
  </si>
  <si>
    <t>Mars</t>
  </si>
  <si>
    <t>火星</t>
  </si>
  <si>
    <t>内瑟尔</t>
  </si>
  <si>
    <t>Harpy</t>
  </si>
  <si>
    <t>哈皮</t>
  </si>
  <si>
    <t>Fenrir</t>
  </si>
  <si>
    <t>芬里尔</t>
  </si>
  <si>
    <t>Shell</t>
  </si>
  <si>
    <t>躯壳</t>
  </si>
  <si>
    <t>Revenant</t>
  </si>
  <si>
    <t>亡魂</t>
  </si>
  <si>
    <t>Ao Jun</t>
  </si>
  <si>
    <t>敖顺</t>
  </si>
  <si>
    <t>Samjok</t>
  </si>
  <si>
    <t>焱鸦</t>
  </si>
  <si>
    <t>Skyros</t>
  </si>
  <si>
    <t>乾坤球</t>
  </si>
  <si>
    <t>Siren</t>
  </si>
  <si>
    <t>塞壬</t>
  </si>
  <si>
    <t>Erebus</t>
  </si>
  <si>
    <t>厄瑞玻斯</t>
  </si>
  <si>
    <t>Scorpion</t>
  </si>
  <si>
    <t>天蝎</t>
  </si>
  <si>
    <t>Fafnir</t>
  </si>
  <si>
    <t>法夫纳</t>
  </si>
  <si>
    <t>Behemoth</t>
  </si>
  <si>
    <t>比蒙</t>
  </si>
  <si>
    <t>Ares</t>
  </si>
  <si>
    <t>阿瑞斯</t>
  </si>
  <si>
    <t>Nether</t>
  </si>
  <si>
    <t>Typhon</t>
  </si>
  <si>
    <t>提丰</t>
  </si>
  <si>
    <t>Leech</t>
  </si>
  <si>
    <t>水蛭</t>
  </si>
  <si>
    <t>Orochi</t>
  </si>
  <si>
    <t>大蛇</t>
  </si>
  <si>
    <t>Willa Owe</t>
  </si>
  <si>
    <t>威拉·奥维</t>
  </si>
  <si>
    <t>Walter Trommel</t>
  </si>
  <si>
    <t>沃尔特·特罗梅尔</t>
  </si>
  <si>
    <t>Cliff Debuse</t>
  </si>
  <si>
    <t>克利夫·德布斯</t>
  </si>
  <si>
    <t>Miharu Sharpe</t>
  </si>
  <si>
    <t>夏普美晴</t>
  </si>
  <si>
    <t>Bai Xing</t>
  </si>
  <si>
    <t>白星</t>
  </si>
  <si>
    <t xml:space="preserve">Zoe Billotte </t>
  </si>
  <si>
    <t>佐伊·比约特</t>
  </si>
  <si>
    <t>Ochokochi 5000 shards</t>
  </si>
  <si>
    <t>奥乔科奇 5000 零件</t>
  </si>
  <si>
    <t>Imugi 5000 shards</t>
  </si>
  <si>
    <t>螭兽 5000 零件</t>
  </si>
  <si>
    <t>Lynx 5000 shards</t>
  </si>
  <si>
    <t>猞猁 5000 零件</t>
  </si>
  <si>
    <t>Dagon 5000 shards</t>
  </si>
  <si>
    <t>达贡 5000 零件</t>
  </si>
  <si>
    <t>Ophion 5000 shards</t>
  </si>
  <si>
    <t>俄菲翁 5000 零件</t>
  </si>
  <si>
    <t>Mars 5000 shards</t>
  </si>
  <si>
    <t>火星 5000 零件</t>
  </si>
  <si>
    <t>内瑟尔 5000 零件</t>
  </si>
  <si>
    <t>Smuta</t>
  </si>
  <si>
    <t>动乱</t>
  </si>
  <si>
    <t>Decay</t>
  </si>
  <si>
    <t>萎疾</t>
  </si>
  <si>
    <t>Incinerator</t>
  </si>
  <si>
    <t>焚化器</t>
  </si>
  <si>
    <t>Devastator</t>
  </si>
  <si>
    <t>破坏者</t>
  </si>
  <si>
    <t>Sim Yo-Han</t>
  </si>
  <si>
    <t>沈佑</t>
  </si>
  <si>
    <t>Hugo Booker</t>
  </si>
  <si>
    <t>雨果布克</t>
  </si>
  <si>
    <t>Vepkho</t>
  </si>
  <si>
    <t>维普霍洛维泽</t>
  </si>
  <si>
    <t>Ochokochi 2500 shards</t>
  </si>
  <si>
    <t>奥乔科奇 2500 零件</t>
  </si>
  <si>
    <t>Imugi 2500 shards</t>
  </si>
  <si>
    <t>螭兽 2500 零件</t>
  </si>
  <si>
    <t>Lynx 2500 shards</t>
  </si>
  <si>
    <t>猞猁 2500 零件</t>
  </si>
  <si>
    <t>Dagon 2500 shards</t>
  </si>
  <si>
    <t>达贡 2500 零件</t>
  </si>
  <si>
    <t>Ophion 2500 shards</t>
  </si>
  <si>
    <t>俄菲翁 2500 零件</t>
  </si>
  <si>
    <t>Mars 2500 shards</t>
  </si>
  <si>
    <t>火星 2500 零件</t>
  </si>
  <si>
    <t>内瑟尔 2500 零件</t>
  </si>
  <si>
    <t>Razdor</t>
  </si>
  <si>
    <t>分裂</t>
  </si>
  <si>
    <t>Hazard</t>
  </si>
  <si>
    <t>危害</t>
  </si>
  <si>
    <t>Scorcher</t>
  </si>
  <si>
    <t>烧灼者</t>
  </si>
  <si>
    <t>Havoc</t>
  </si>
  <si>
    <t>浩劫</t>
  </si>
  <si>
    <t>Seven</t>
  </si>
  <si>
    <t>赛文</t>
  </si>
  <si>
    <t>Ochokochi 1000 shards</t>
  </si>
  <si>
    <t>奥乔科奇 1000 零件</t>
  </si>
  <si>
    <t>Imugi 1000 shards</t>
  </si>
  <si>
    <t>螭兽 1000 零件</t>
  </si>
  <si>
    <t>Lynx 1000 shards</t>
  </si>
  <si>
    <t>猞猁 1000 零件</t>
  </si>
  <si>
    <t>Dagon 1000 shards</t>
  </si>
  <si>
    <t>达贡 1000 零件</t>
  </si>
  <si>
    <t>Ophion 1000 shards</t>
  </si>
  <si>
    <t>俄菲翁 1000 零件</t>
  </si>
  <si>
    <t>Mars 1000 shards</t>
  </si>
  <si>
    <t>火星 1000 零件</t>
  </si>
  <si>
    <t>内瑟尔 1000 零件</t>
  </si>
  <si>
    <t>Kramola</t>
  </si>
  <si>
    <t>叛乱</t>
  </si>
  <si>
    <t>Blight</t>
  </si>
  <si>
    <t>衰变</t>
  </si>
  <si>
    <t>Sclad</t>
  </si>
  <si>
    <t>灼枯</t>
  </si>
  <si>
    <t>Scatter</t>
  </si>
  <si>
    <t>驱散者</t>
  </si>
  <si>
    <t>Discipline</t>
  </si>
  <si>
    <t>戒律</t>
  </si>
  <si>
    <t>Leinani</t>
  </si>
  <si>
    <t>雷纳尼</t>
  </si>
  <si>
    <t>Monique Lenormand</t>
  </si>
  <si>
    <t>莫妮卡·勒诺曼</t>
  </si>
  <si>
    <t>Skyros 5000 shards</t>
  </si>
  <si>
    <t>乾坤球 5000 零件</t>
  </si>
  <si>
    <t>哈皮 5000 零件</t>
  </si>
  <si>
    <t>Puncher</t>
  </si>
  <si>
    <t>钻孔机</t>
  </si>
  <si>
    <t>Hel</t>
  </si>
  <si>
    <t>赫尔</t>
  </si>
  <si>
    <t>Nucleon</t>
  </si>
  <si>
    <t>核子</t>
  </si>
  <si>
    <t>Smite</t>
  </si>
  <si>
    <t>重击</t>
  </si>
  <si>
    <t>Nanea</t>
  </si>
  <si>
    <t>纳涅阿</t>
  </si>
  <si>
    <t>Kirin</t>
  </si>
  <si>
    <t>麒麟</t>
  </si>
  <si>
    <t>Mao Ling</t>
  </si>
  <si>
    <t>令茂</t>
  </si>
  <si>
    <t>Skyros 2500 shards</t>
  </si>
  <si>
    <t>乾坤球 2500 零件</t>
  </si>
  <si>
    <t>哈皮 2500 零件</t>
  </si>
  <si>
    <t>Pulsar</t>
  </si>
  <si>
    <t>脉冲星</t>
  </si>
  <si>
    <t>Skadi</t>
  </si>
  <si>
    <t>斯卡蒂</t>
  </si>
  <si>
    <t>Atomizer</t>
  </si>
  <si>
    <t>粒子发射器</t>
  </si>
  <si>
    <t>ARM L-83</t>
  </si>
  <si>
    <t>等离子炮L-83</t>
  </si>
  <si>
    <t>Mogwan</t>
  </si>
  <si>
    <t>瘴炬</t>
  </si>
  <si>
    <t>Regulator</t>
  </si>
  <si>
    <t>监管者</t>
  </si>
  <si>
    <t>Nathan Fleming</t>
  </si>
  <si>
    <t>内森弗莱明</t>
  </si>
  <si>
    <t>Skyros 1000 shards</t>
  </si>
  <si>
    <t>乾坤球 1000 零件</t>
  </si>
  <si>
    <t>哈皮 1000 零件</t>
  </si>
  <si>
    <t>Spear</t>
  </si>
  <si>
    <t>长矛</t>
  </si>
  <si>
    <t>Snaer</t>
  </si>
  <si>
    <t>斯奈尔</t>
  </si>
  <si>
    <t>Quarker</t>
  </si>
  <si>
    <t>夸克枪</t>
  </si>
  <si>
    <t>ARM M-80</t>
  </si>
  <si>
    <t>等离子炮M-80</t>
  </si>
  <si>
    <t>Gangil</t>
  </si>
  <si>
    <t>河龙</t>
  </si>
  <si>
    <t>Hwanje</t>
  </si>
  <si>
    <t>帝王</t>
  </si>
  <si>
    <t>Nether 5000 shards</t>
  </si>
  <si>
    <t>塞壬 5000 零件</t>
  </si>
  <si>
    <t>[REDACTED] Twins</t>
  </si>
  <si>
    <t>[绝密]双子</t>
  </si>
  <si>
    <t>Bernadette Wolff (Fenrir)</t>
  </si>
  <si>
    <t>伯纳黛特·沃尔夫 (芬里尔)</t>
  </si>
  <si>
    <t>Linda Cano (Shell)</t>
  </si>
  <si>
    <t>琳达·卡诺 (躯壳)</t>
  </si>
  <si>
    <t>Andrey Kvasov (Behemoth)</t>
  </si>
  <si>
    <t>安德烈·科瓦索夫 (比蒙)</t>
  </si>
  <si>
    <t>Alika Renner (Ao Jun)</t>
  </si>
  <si>
    <t>艾丽佳·伦纳（敖顺）</t>
  </si>
  <si>
    <t>Subduer</t>
  </si>
  <si>
    <t>屈服者</t>
  </si>
  <si>
    <t>Fengbao</t>
  </si>
  <si>
    <t>风暴</t>
  </si>
  <si>
    <t>Yeoje</t>
  </si>
  <si>
    <t>女帝</t>
  </si>
  <si>
    <t>Nether 2500 shards</t>
  </si>
  <si>
    <t>塞壬 2500 零件</t>
  </si>
  <si>
    <t>Louis Duncan (Typhon)</t>
  </si>
  <si>
    <t>刘易斯·邓肯（提丰）</t>
  </si>
  <si>
    <t>Linda Cano (Fenrir)</t>
  </si>
  <si>
    <t>琳达·卡诺 (芬里尔)</t>
  </si>
  <si>
    <t>Dew Tompkins (Shell)</t>
  </si>
  <si>
    <t>德鲁·汤普金斯 (躯壳)</t>
  </si>
  <si>
    <t>Ricardo Gonzales (Revenant)</t>
  </si>
  <si>
    <t>里卡多·冈萨雷斯 (亡魂)</t>
  </si>
  <si>
    <t>Yang Lee (Ao Jun)</t>
  </si>
  <si>
    <t>李杨（敖顺）</t>
  </si>
  <si>
    <t>Nuo 5000 shards</t>
  </si>
  <si>
    <t>诺欧 5000 零件</t>
  </si>
  <si>
    <t>Leiming</t>
  </si>
  <si>
    <t>雷鸣</t>
  </si>
  <si>
    <t>Daeja</t>
  </si>
  <si>
    <t>泰迦</t>
  </si>
  <si>
    <t>Nether 1000 shards</t>
  </si>
  <si>
    <t>塞壬 1000 零件</t>
  </si>
  <si>
    <t>River Chase (Typhon)</t>
  </si>
  <si>
    <t>里维尔·奇斯（提丰）</t>
  </si>
  <si>
    <t>Jad Parkes (Erebus)</t>
  </si>
  <si>
    <t>杰德·帕克斯 (厄瑞玻斯)</t>
  </si>
  <si>
    <t>Ash Skarsgard (Scorpion)</t>
  </si>
  <si>
    <t>艾什·斯卡思加德 (天蝎)</t>
  </si>
  <si>
    <t>Johanna Flynn (Fafnir)</t>
  </si>
  <si>
    <t>乔汉娜·福林 (法夫纳)</t>
  </si>
  <si>
    <t>Vasilisa Maximova (Revenant)</t>
  </si>
  <si>
    <t>瓦西里萨·马克西莫娃 (亡魂)</t>
  </si>
  <si>
    <t>Warren Ozu (Ares)</t>
  </si>
  <si>
    <t>沃伦·小津（阿瑞斯）</t>
  </si>
  <si>
    <t>Dux 5000 shards</t>
  </si>
  <si>
    <t>杜克斯 5000 零件</t>
  </si>
  <si>
    <t>Nuo 2500 shards</t>
  </si>
  <si>
    <t>诺欧 2500 零件</t>
  </si>
  <si>
    <t>Shifang</t>
  </si>
  <si>
    <t>释放</t>
  </si>
  <si>
    <t>Brisant</t>
  </si>
  <si>
    <t>破碎</t>
  </si>
  <si>
    <t>Typhon 5000 shards</t>
  </si>
  <si>
    <t>提丰 5000 零件</t>
  </si>
  <si>
    <t>伯纳黛特·沃尔夫（芬里尔）</t>
  </si>
  <si>
    <t>Iskra (Scorpion)</t>
  </si>
  <si>
    <t>伊斯克拉 (天蝎)</t>
  </si>
  <si>
    <t>Svyatogor Belov (Fafnir)</t>
  </si>
  <si>
    <t>斯维亚托格·贝洛夫 (法夫纳)</t>
  </si>
  <si>
    <t>艾丽佳·伦纳 (敖顺)</t>
  </si>
  <si>
    <t>Isabella Porter (Leech)</t>
  </si>
  <si>
    <t>伊莎贝拉·波特（水蛭）</t>
  </si>
  <si>
    <t>Dux 2500 shards</t>
  </si>
  <si>
    <t>杜克斯 2500 零件</t>
  </si>
  <si>
    <t>Nuo 1000 shards</t>
  </si>
  <si>
    <t>诺欧 1000 零件</t>
  </si>
  <si>
    <t>Lio 5000 shards</t>
  </si>
  <si>
    <t>里奥 5000 零件</t>
  </si>
  <si>
    <t>Splinter</t>
  </si>
  <si>
    <t>裂碎</t>
  </si>
  <si>
    <t>Typhon 2500 shards</t>
  </si>
  <si>
    <t>提丰 2500 零件</t>
  </si>
  <si>
    <t>琳达·卡诺（芬里尔）</t>
  </si>
  <si>
    <t>Noa Minax (Fafnir)</t>
  </si>
  <si>
    <t>诺亚·米纳克斯 (法夫纳)</t>
  </si>
  <si>
    <t>李杨 (敖顺)</t>
  </si>
  <si>
    <t>Ghost (Orochi)</t>
  </si>
  <si>
    <t>幽灵（大蛇）</t>
  </si>
  <si>
    <t>Dux 1000 shards</t>
  </si>
  <si>
    <t>杜克斯 1000 零件</t>
  </si>
  <si>
    <t>Lio 2500 shards</t>
  </si>
  <si>
    <t>里奥 2500 零件</t>
  </si>
  <si>
    <t>Ravager 5000 shards</t>
  </si>
  <si>
    <t>毁坏者 5000 零件</t>
  </si>
  <si>
    <t>SWORD Unit-190 5000 shards</t>
  </si>
  <si>
    <t>天剑190式 5000 零件</t>
  </si>
  <si>
    <t>Shatter</t>
  </si>
  <si>
    <t>粉碎</t>
  </si>
  <si>
    <t>Typhon 1000 shards</t>
  </si>
  <si>
    <t>提丰 1000 零件</t>
  </si>
  <si>
    <t>Otto Schreyer</t>
  </si>
  <si>
    <t>奥托·施赖尔</t>
  </si>
  <si>
    <t>沃伦·小津 (阿瑞斯)</t>
  </si>
  <si>
    <t>Nitro Unit</t>
  </si>
  <si>
    <t>硝基单元</t>
  </si>
  <si>
    <t>Lio 1000 shards</t>
  </si>
  <si>
    <t>里奥 1000 零件</t>
  </si>
  <si>
    <t>Ravager 2500 shards</t>
  </si>
  <si>
    <t>毁坏者 2500 零件</t>
  </si>
  <si>
    <t>SWORD Unit-190 2500 shards</t>
  </si>
  <si>
    <t>天剑190式 2500 零件</t>
  </si>
  <si>
    <t>Magnetar</t>
  </si>
  <si>
    <t>磁星</t>
  </si>
  <si>
    <t>Sati "Cat" Felidae</t>
  </si>
  <si>
    <t>“猫”萨蒂·菲利达</t>
  </si>
  <si>
    <t>Stefan Benson</t>
  </si>
  <si>
    <t>斯特凡·本森</t>
  </si>
  <si>
    <t>Anna Basarab</t>
  </si>
  <si>
    <t>安娜·巴萨拉布</t>
  </si>
  <si>
    <t>罗尔夫·加西亚 (内瑟尔)</t>
  </si>
  <si>
    <t>Harpy 5000 shards</t>
  </si>
  <si>
    <t>Immune Amplifier</t>
  </si>
  <si>
    <t>免疫放大器</t>
  </si>
  <si>
    <t>Cloaking Unit</t>
  </si>
  <si>
    <t>隐身单元</t>
  </si>
  <si>
    <t>Ravager 1000 shards</t>
  </si>
  <si>
    <t>毁坏者 1000 零件</t>
  </si>
  <si>
    <t>SWORD Unit-190 1000 shards</t>
  </si>
  <si>
    <t>天剑190式 1000 零件</t>
  </si>
  <si>
    <t>Shenlou 5000 shards</t>
  </si>
  <si>
    <t>蜃楼 5000 零件</t>
  </si>
  <si>
    <t>Curie 5000 shards</t>
  </si>
  <si>
    <t>居里 5000 零件</t>
  </si>
  <si>
    <t>Elizabeth Green</t>
  </si>
  <si>
    <t>伊丽莎白·格林</t>
  </si>
  <si>
    <t>Captain Clyde</t>
  </si>
  <si>
    <t>克莱德船长</t>
  </si>
  <si>
    <t>埃弗雷特 (内瑟尔)</t>
  </si>
  <si>
    <t>Siren 5000 shards</t>
  </si>
  <si>
    <t>Repair Amplifier</t>
  </si>
  <si>
    <t>修理放大器</t>
  </si>
  <si>
    <t>Overdrive Unit</t>
  </si>
  <si>
    <t>超驱动单元</t>
  </si>
  <si>
    <t>Samjok 5000 shards</t>
  </si>
  <si>
    <t>焱鸦 5000 零件</t>
  </si>
  <si>
    <t>Shenlou 2500 shards</t>
  </si>
  <si>
    <t>蜃楼 2500 零件</t>
  </si>
  <si>
    <t>Curie 2500 shards</t>
  </si>
  <si>
    <t>居里 2500 零件</t>
  </si>
  <si>
    <t>Theseus</t>
  </si>
  <si>
    <t>忒修斯</t>
  </si>
  <si>
    <t>Fenrir 5000 shards</t>
  </si>
  <si>
    <t>芬里尔 5000 零件</t>
  </si>
  <si>
    <t>Nuclear Amplifier</t>
  </si>
  <si>
    <t>核放大器</t>
  </si>
  <si>
    <t>Last Stand</t>
  </si>
  <si>
    <t>背水一战</t>
  </si>
  <si>
    <t>Samjok 2500 shards</t>
  </si>
  <si>
    <t>焱鸦 2500 零件</t>
  </si>
  <si>
    <t>Shenlou 1000 shards</t>
  </si>
  <si>
    <t>蜃楼 1000 零件</t>
  </si>
  <si>
    <t>Curie 1000 shards</t>
  </si>
  <si>
    <t>居里 1000 零件</t>
  </si>
  <si>
    <t>Roberto Baros</t>
  </si>
  <si>
    <t>罗伯托·巴洛斯</t>
  </si>
  <si>
    <t>Erebus 5000 shards</t>
  </si>
  <si>
    <t>厄瑞玻斯 5000 零件</t>
  </si>
  <si>
    <t>Anticontrol</t>
  </si>
  <si>
    <t>反控制</t>
  </si>
  <si>
    <t>Samjok 1000 shards</t>
  </si>
  <si>
    <t>焱鸦 1000 零件</t>
  </si>
  <si>
    <t>Rolf Garcia</t>
  </si>
  <si>
    <t>罗尔夫·加西亚</t>
  </si>
  <si>
    <t>Harpy 2500 shards</t>
  </si>
  <si>
    <t>Scorpion 5000 shards</t>
  </si>
  <si>
    <t>天蝎 5000 零件</t>
  </si>
  <si>
    <t>Shell 5000 shards</t>
  </si>
  <si>
    <t>躯壳 5000 零件</t>
  </si>
  <si>
    <t>Revenant 5000 shards</t>
  </si>
  <si>
    <t>亡魂 5000 零件</t>
  </si>
  <si>
    <t>Ao Jun 5000 shards</t>
  </si>
  <si>
    <t>敖顺 5000零件</t>
  </si>
  <si>
    <t>3V3R3TT</t>
  </si>
  <si>
    <t>埃弗雷特</t>
  </si>
  <si>
    <t>Siren 2500 shards</t>
  </si>
  <si>
    <t>Fafnir 5000 shards</t>
  </si>
  <si>
    <t>法夫纳 5000 零件</t>
  </si>
  <si>
    <t>Behemoth 5000 shards</t>
  </si>
  <si>
    <t>比蒙 5000 零件</t>
  </si>
  <si>
    <t>Ares 5000 shards</t>
  </si>
  <si>
    <t>阿瑞斯 5000零件</t>
  </si>
  <si>
    <t>River Chase</t>
  </si>
  <si>
    <t>里维尔·奇斯</t>
  </si>
  <si>
    <t>棱镜</t>
  </si>
  <si>
    <t>Fenrir 2500 shards</t>
  </si>
  <si>
    <t>芬里尔 2500 零件</t>
  </si>
  <si>
    <t>敖顺 5000 零件</t>
  </si>
  <si>
    <t>Leech 5000 shards</t>
  </si>
  <si>
    <t>水蛭 5000零件</t>
  </si>
  <si>
    <t>Spike</t>
  </si>
  <si>
    <t>长钉</t>
  </si>
  <si>
    <t>Louis Duncan</t>
  </si>
  <si>
    <t>刘易斯·邓肯</t>
  </si>
  <si>
    <t>Erebus 2500 shards</t>
  </si>
  <si>
    <t>厄瑞玻斯 2500 零件</t>
  </si>
  <si>
    <t>阿瑞斯 5000 零件</t>
  </si>
  <si>
    <t>Orochi 5000 shards</t>
  </si>
  <si>
    <t>大蛇 5000零件</t>
  </si>
  <si>
    <t>Leinani 5000 shards</t>
  </si>
  <si>
    <t>雷纳尼 5000 零件</t>
  </si>
  <si>
    <t>Stake</t>
  </si>
  <si>
    <t>长锥</t>
  </si>
  <si>
    <t>Needle</t>
  </si>
  <si>
    <t>长针</t>
  </si>
  <si>
    <t>Fainter</t>
  </si>
  <si>
    <t>昏厥</t>
  </si>
  <si>
    <t>Harpy 1000 shards</t>
  </si>
  <si>
    <t>Scorpion 2500 shards</t>
  </si>
  <si>
    <t>法夫纳 2500 零件</t>
  </si>
  <si>
    <t>Shell 2500 shards</t>
  </si>
  <si>
    <t>躯壳 2500 零件</t>
  </si>
  <si>
    <t>Revenant 2500 shards</t>
  </si>
  <si>
    <t>亡魂 2500 零件</t>
  </si>
  <si>
    <t>Ao Jun 2500 shards</t>
  </si>
  <si>
    <t>敖顺 2500零件</t>
  </si>
  <si>
    <t>Discipline 5000 shards</t>
  </si>
  <si>
    <t>戒律 5000 零件</t>
  </si>
  <si>
    <t>Nanea 5000 shards</t>
  </si>
  <si>
    <t>纳涅阿 5000 零件</t>
  </si>
  <si>
    <t>Cestus</t>
  </si>
  <si>
    <t>战拳</t>
  </si>
  <si>
    <t>Hammer</t>
  </si>
  <si>
    <t>榔头</t>
  </si>
  <si>
    <t>Siren 1000 shards</t>
  </si>
  <si>
    <t>Fafnir 2500 shards</t>
  </si>
  <si>
    <t>天蝎 2500 零件</t>
  </si>
  <si>
    <t>Behemoth 2500 shards</t>
  </si>
  <si>
    <t>比蒙 2500 零件</t>
  </si>
  <si>
    <t>Ares 2500 shards</t>
  </si>
  <si>
    <t>阿瑞斯 2500零件</t>
  </si>
  <si>
    <t>Smite 5000 shards</t>
  </si>
  <si>
    <t>重击 5000 零件</t>
  </si>
  <si>
    <t>ARM L-83 5000 shards</t>
  </si>
  <si>
    <t>等离子炮L-83 5000 零件</t>
  </si>
  <si>
    <t>Kirin 5000 shards</t>
  </si>
  <si>
    <t>麒麟 5000 零件</t>
  </si>
  <si>
    <t>Labrys</t>
  </si>
  <si>
    <t>双刃斧</t>
  </si>
  <si>
    <t>Cudgel</t>
  </si>
  <si>
    <t>短棍</t>
  </si>
  <si>
    <t>Fenrir 1000 shards</t>
  </si>
  <si>
    <t>芬里尔 1000 零件</t>
  </si>
  <si>
    <t>敖顺 2500 零件</t>
  </si>
  <si>
    <t>Leech 2500 shards</t>
  </si>
  <si>
    <t>水蛭 2500零件</t>
  </si>
  <si>
    <t>ARM M-80 5000 shards</t>
  </si>
  <si>
    <t>等离子炮M-80 5000 零件</t>
  </si>
  <si>
    <t>Mogwan 5000 shards</t>
  </si>
  <si>
    <t>瘴炬 5000 零件</t>
  </si>
  <si>
    <t>Regulator 5000 shards</t>
  </si>
  <si>
    <t>监管者 5000 零件</t>
  </si>
  <si>
    <t>Ksiphos</t>
  </si>
  <si>
    <t>双刃剑</t>
  </si>
  <si>
    <t>Mace</t>
  </si>
  <si>
    <t>权杖</t>
  </si>
  <si>
    <t>棱镜 5000 零件</t>
  </si>
  <si>
    <t>Erebus 1000 shards</t>
  </si>
  <si>
    <t>厄瑞玻斯 1000 零件</t>
  </si>
  <si>
    <t>阿瑞斯 2500 零件</t>
  </si>
  <si>
    <t>Orochi 2500 shards</t>
  </si>
  <si>
    <t>大蛇 2500零件</t>
  </si>
  <si>
    <t>Gangil 5000 shards</t>
  </si>
  <si>
    <t>河龙 5000 零件</t>
  </si>
  <si>
    <t>Prisma</t>
  </si>
  <si>
    <t>长矛 5000 零件</t>
  </si>
  <si>
    <t>Smuta 5000 shards</t>
  </si>
  <si>
    <t>动乱 5000 零件</t>
  </si>
  <si>
    <t>Scorpion 1000 shards</t>
  </si>
  <si>
    <t>天蝎 1000 零件</t>
  </si>
  <si>
    <t>Shell 1000 shards</t>
  </si>
  <si>
    <t>躯壳 1000 零件</t>
  </si>
  <si>
    <t>Revenant 1000 shards</t>
  </si>
  <si>
    <t>亡魂 1000 零件</t>
  </si>
  <si>
    <t>Ao Jun 1000 shards</t>
  </si>
  <si>
    <t>敖顺 1000零件</t>
  </si>
  <si>
    <t>Leinani 2500 shards</t>
  </si>
  <si>
    <t>雷纳尼 2500 零件</t>
  </si>
  <si>
    <t>Subduer 5000 shards</t>
  </si>
  <si>
    <t>屈服者 5000 零件</t>
  </si>
  <si>
    <t>Fengbao 5000 shards</t>
  </si>
  <si>
    <t>风暴 5000 零件</t>
  </si>
  <si>
    <t>Hwanje 5000 shards</t>
  </si>
  <si>
    <t>帝王 5000 零件</t>
  </si>
  <si>
    <t>Splinter 5000 shards</t>
  </si>
  <si>
    <t>裂碎 5000 零件</t>
  </si>
  <si>
    <t>Razdor 5000 shards</t>
  </si>
  <si>
    <t>分裂 5000 零件</t>
  </si>
  <si>
    <t>Fafnir 1000 shards</t>
  </si>
  <si>
    <t>法夫纳 1000 零件</t>
  </si>
  <si>
    <t>Behemoth 1000 shards</t>
  </si>
  <si>
    <t>比蒙 1000 零件</t>
  </si>
  <si>
    <t>Ares 1000 shards</t>
  </si>
  <si>
    <t>阿瑞斯 1000零件</t>
  </si>
  <si>
    <t>Nanea 2500 shards</t>
  </si>
  <si>
    <t>纳涅阿 2500 零件</t>
  </si>
  <si>
    <t>Leiming 5000 shards</t>
  </si>
  <si>
    <t>雷鸣 5000 零件</t>
  </si>
  <si>
    <t>Yeoje 5000 shards</t>
  </si>
  <si>
    <t>女帝 5000 零件</t>
  </si>
  <si>
    <t>Shatter 5000 shards</t>
  </si>
  <si>
    <t>粉碎 5000 零件</t>
  </si>
  <si>
    <t>Brisant 5000 shards</t>
  </si>
  <si>
    <t>破碎 5000 零件</t>
  </si>
  <si>
    <t>Fainter 5000 shards</t>
  </si>
  <si>
    <t>昏厥 5000 零件</t>
  </si>
  <si>
    <t>Kramola 5000 shards</t>
  </si>
  <si>
    <t>叛乱 5000 零件</t>
  </si>
  <si>
    <t>Decay 5000 shards</t>
  </si>
  <si>
    <t>衰变 5000 零件</t>
  </si>
  <si>
    <t>敖顺 1000 零件</t>
  </si>
  <si>
    <t>Leech 1000 shards</t>
  </si>
  <si>
    <t>水蛭 1000零件</t>
  </si>
  <si>
    <t>Discipline 2500 shards</t>
  </si>
  <si>
    <t>戒律 2500 零件</t>
  </si>
  <si>
    <t>ARM L-83 2500 shards</t>
  </si>
  <si>
    <t>等离子炮L-83 2500 零件</t>
  </si>
  <si>
    <t>Shifang 5000 shards</t>
  </si>
  <si>
    <t>释放 5000 零件</t>
  </si>
  <si>
    <t>Daeja 5000 shards</t>
  </si>
  <si>
    <t>泰迦 5000 零件</t>
  </si>
  <si>
    <t>Stake 5000 shards</t>
  </si>
  <si>
    <t>长锥 5000 零件</t>
  </si>
  <si>
    <t>Spike 5000 shards</t>
  </si>
  <si>
    <t>长钉 5000 零件</t>
  </si>
  <si>
    <t>Hammer 5000 shards</t>
  </si>
  <si>
    <t>榔头 5000 零件</t>
  </si>
  <si>
    <t>Puncher 5000 shards</t>
  </si>
  <si>
    <t>钻孔机 5000 零件</t>
  </si>
  <si>
    <t>Hazard 5000 shards</t>
  </si>
  <si>
    <t>危害 5000 零件</t>
  </si>
  <si>
    <t>阿瑞斯 1000 零件</t>
  </si>
  <si>
    <t>Orochi 1000 shards</t>
  </si>
  <si>
    <t>大蛇 1000零件</t>
  </si>
  <si>
    <t>Smite 2500 shards</t>
  </si>
  <si>
    <t>重击 2500 零件</t>
  </si>
  <si>
    <t>ARM M-80 2500 shards</t>
  </si>
  <si>
    <t>等离子炮M-80 2500 零件</t>
  </si>
  <si>
    <t>Kirin 2500 shards</t>
  </si>
  <si>
    <t>麒麟 2500 零件</t>
  </si>
  <si>
    <t>Needle 5000 shards</t>
  </si>
  <si>
    <t>长针 5000 零件</t>
  </si>
  <si>
    <t>Cudgel 5000 shards</t>
  </si>
  <si>
    <t>短棍 5000 零件</t>
  </si>
  <si>
    <t>棱镜 2500 零件</t>
  </si>
  <si>
    <t>Pulsar 5000 shards</t>
  </si>
  <si>
    <t>脉冲星 5000 零件</t>
  </si>
  <si>
    <t>Blight 5000 shards</t>
  </si>
  <si>
    <t>萎疾 5000 零件</t>
  </si>
  <si>
    <t>Incinerator 5000 shards</t>
  </si>
  <si>
    <t>焚化器 5000 零件</t>
  </si>
  <si>
    <t>Devastator 5000 shards</t>
  </si>
  <si>
    <t>破坏者 5000零件</t>
  </si>
  <si>
    <t>Regulator 2500 shards</t>
  </si>
  <si>
    <t>监管者 2500 零件</t>
  </si>
  <si>
    <t>Mogwan 2500 shards</t>
  </si>
  <si>
    <t>瘴炬 2500 零件</t>
  </si>
  <si>
    <t>Magnetar 5000 shards</t>
  </si>
  <si>
    <t>磁星 5000 零件</t>
  </si>
  <si>
    <t>Mace 5000 shards</t>
  </si>
  <si>
    <t>权杖 5000 零件</t>
  </si>
  <si>
    <t>长矛 2500 零件</t>
  </si>
  <si>
    <t>Spear 5000 shards</t>
  </si>
  <si>
    <t>Hel 5000 shards</t>
  </si>
  <si>
    <t>赫尔 5000 零件</t>
  </si>
  <si>
    <t>Scorcher 5000 shards</t>
  </si>
  <si>
    <t>烧灼者 5000 零件</t>
  </si>
  <si>
    <t>Havoc 5000 shards</t>
  </si>
  <si>
    <t>浩劫 5000零件</t>
  </si>
  <si>
    <t>Leinani 1000 shards</t>
  </si>
  <si>
    <t>雷纳尼 1000 零件</t>
  </si>
  <si>
    <t>Gangil 2500 shards</t>
  </si>
  <si>
    <t>河龙 2500 零件</t>
  </si>
  <si>
    <t>Cestus 5000 shards</t>
  </si>
  <si>
    <t>战拳 5000 零件</t>
  </si>
  <si>
    <t>Prisma 5000 shards</t>
  </si>
  <si>
    <t>动乱 2500 零件</t>
  </si>
  <si>
    <t>Smuta 2500 shards</t>
  </si>
  <si>
    <t>Skadi 5000 shards</t>
  </si>
  <si>
    <t>斯卡蒂 5000 零件</t>
  </si>
  <si>
    <t>Sclad 5000 shards</t>
  </si>
  <si>
    <t>灼枯 5000 零件</t>
  </si>
  <si>
    <t>Scatter 5000 shards</t>
  </si>
  <si>
    <t>驱散者 5000零件</t>
  </si>
  <si>
    <t>Nanea 1000 shards</t>
  </si>
  <si>
    <t>纳涅阿 1000 零件</t>
  </si>
  <si>
    <t>Subduer 2500 shards</t>
  </si>
  <si>
    <t>屈服者 2500 零件</t>
  </si>
  <si>
    <t>Fengbao 2500 shards</t>
  </si>
  <si>
    <t>风暴 2500 零件</t>
  </si>
  <si>
    <t>Labrys 5000 shards</t>
  </si>
  <si>
    <t>双刃斧 5000 零件</t>
  </si>
  <si>
    <t>分裂 2500 零件</t>
  </si>
  <si>
    <t>Razdor 2500 shards</t>
  </si>
  <si>
    <t>Snaer 5000 shards</t>
  </si>
  <si>
    <t>斯奈尔 5000 零件</t>
  </si>
  <si>
    <t>破坏者 5000 零件</t>
  </si>
  <si>
    <t>Nucleon 5000 shards</t>
  </si>
  <si>
    <t>核子 5000零件</t>
  </si>
  <si>
    <t>ARM L-83 1000 shards</t>
  </si>
  <si>
    <t>等离子炮L-83 1000 零件</t>
  </si>
  <si>
    <t>Leiming 2500 shards</t>
  </si>
  <si>
    <t>雷鸣 2500 零件</t>
  </si>
  <si>
    <t>Hwanje 2500 shards</t>
  </si>
  <si>
    <t>帝王 2500 零件</t>
  </si>
  <si>
    <t>Splinter 2500 shards</t>
  </si>
  <si>
    <t>裂碎 2500 零件</t>
  </si>
  <si>
    <t>Ksiphos 5000 shards</t>
  </si>
  <si>
    <t>双刃剑 5000 零件</t>
  </si>
  <si>
    <t>Fainter 2500 shards</t>
  </si>
  <si>
    <t>昏厥 2500 零件</t>
  </si>
  <si>
    <t>叛乱 2500 零件</t>
  </si>
  <si>
    <t>Kramola 2500 shards</t>
  </si>
  <si>
    <t>Decay 2500 shards</t>
  </si>
  <si>
    <t>衰变 2500 零件</t>
  </si>
  <si>
    <t>浩劫 5000 零件</t>
  </si>
  <si>
    <t>Atomizer 5000 shards</t>
  </si>
  <si>
    <t>粒子发射器 5000零件</t>
  </si>
  <si>
    <t>Discipline 1000 shards</t>
  </si>
  <si>
    <t>戒律 1000 零件</t>
  </si>
  <si>
    <t>ARM M-80 1000 shards</t>
  </si>
  <si>
    <t>等离子炮M-80 1000 零件</t>
  </si>
  <si>
    <t>Shifang 2500 shards</t>
  </si>
  <si>
    <t>释放 2500 零件</t>
  </si>
  <si>
    <t>Yeoje 2500 shards</t>
  </si>
  <si>
    <t>女帝 2500 零件</t>
  </si>
  <si>
    <t>Shatter 2500 shards</t>
  </si>
  <si>
    <t>粉碎 2500 零件</t>
  </si>
  <si>
    <t>Hammer 2500 shards</t>
  </si>
  <si>
    <t>榔头 2500 零件</t>
  </si>
  <si>
    <t>棱镜 1000 零件</t>
  </si>
  <si>
    <t>Puncher 2500 shards</t>
  </si>
  <si>
    <t>钻孔机 2500 零件</t>
  </si>
  <si>
    <t>Hazard 2500 shards</t>
  </si>
  <si>
    <t>危害 2500 零件</t>
  </si>
  <si>
    <t>驱散者 5000 零件</t>
  </si>
  <si>
    <t>Quarker 5000 shards</t>
  </si>
  <si>
    <t>夸克枪 5000零件</t>
  </si>
  <si>
    <t>Smite 1000 shards</t>
  </si>
  <si>
    <t>重击 1000 零件</t>
  </si>
  <si>
    <t>Regulator 1000 shards</t>
  </si>
  <si>
    <t>监管者 1000 零件</t>
  </si>
  <si>
    <t>Kirin 1000 shards</t>
  </si>
  <si>
    <t>麒麟 1000 零件</t>
  </si>
  <si>
    <t>Daeja 2500 shards</t>
  </si>
  <si>
    <t>泰迦 2500 零件</t>
  </si>
  <si>
    <t>Stake 2500 shards</t>
  </si>
  <si>
    <t>长锥 2500 零件</t>
  </si>
  <si>
    <t>Brisant 2500 shards</t>
  </si>
  <si>
    <t>破碎 2500 零件</t>
  </si>
  <si>
    <t>Cudgel 2500 shards</t>
  </si>
  <si>
    <t>短棍 2500 零件</t>
  </si>
  <si>
    <t>长矛 1000 零件</t>
  </si>
  <si>
    <t>Pulsar 2500 shards</t>
  </si>
  <si>
    <t>脉冲星 2500 零件</t>
  </si>
  <si>
    <t>Blight 2500 shards</t>
  </si>
  <si>
    <t>萎疾 2500 零件</t>
  </si>
  <si>
    <t>Incinerator 2500 shards</t>
  </si>
  <si>
    <t>焚化器 2500 零件</t>
  </si>
  <si>
    <t>Devastator 2500 shards</t>
  </si>
  <si>
    <t>破坏者 2500零件</t>
  </si>
  <si>
    <t>Robots</t>
  </si>
  <si>
    <t>机器人</t>
  </si>
  <si>
    <t>Mogwan 1000 shards</t>
  </si>
  <si>
    <t>瘴炬 1000 零件</t>
  </si>
  <si>
    <t>Spike 2500 shards</t>
  </si>
  <si>
    <t>长钉 2500 零件</t>
  </si>
  <si>
    <t>Mace 2500 shards</t>
  </si>
  <si>
    <t>权杖 2500 零件</t>
  </si>
  <si>
    <t>动乱 1000 零件</t>
  </si>
  <si>
    <t>Spear 2500 shards</t>
  </si>
  <si>
    <t>Hel 2500 shards</t>
  </si>
  <si>
    <t>赫尔 2500 零件</t>
  </si>
  <si>
    <t>Scorcher 2500 shards</t>
  </si>
  <si>
    <t>烧灼者 2500 零件</t>
  </si>
  <si>
    <t>Havoc 2500 shards</t>
  </si>
  <si>
    <t>浩劫 2500零件</t>
  </si>
  <si>
    <t>Robot components</t>
  </si>
  <si>
    <t>机器人零件</t>
  </si>
  <si>
    <t>Gangil 1000 shards</t>
  </si>
  <si>
    <t>河龙 1000 零件</t>
  </si>
  <si>
    <t>Needle 2500 shards</t>
  </si>
  <si>
    <t>长针 2500 零件</t>
  </si>
  <si>
    <t>Prisma 2500 shards</t>
  </si>
  <si>
    <t>分裂 1000 零件</t>
  </si>
  <si>
    <t>Smuta 1000 shards</t>
  </si>
  <si>
    <t>Skadi 2500 shards</t>
  </si>
  <si>
    <t>斯卡蒂 2500 零件</t>
  </si>
  <si>
    <t>Sclad 2500 shards</t>
  </si>
  <si>
    <t>灼枯 2500 零件</t>
  </si>
  <si>
    <t>Scatter 2500 shards</t>
  </si>
  <si>
    <t>驱散者 2500零件</t>
  </si>
  <si>
    <t>Pilots</t>
  </si>
  <si>
    <t>机师</t>
  </si>
  <si>
    <t>Subduer 1000 shards</t>
  </si>
  <si>
    <t>屈服者 1000 零件</t>
  </si>
  <si>
    <t>Fengbao 1000 shards</t>
  </si>
  <si>
    <t>风暴 1000 零件</t>
  </si>
  <si>
    <t>Magnetar 2500 shards</t>
  </si>
  <si>
    <t>磁星 2500 零件</t>
  </si>
  <si>
    <t>叛乱 1000 零件</t>
  </si>
  <si>
    <t>Razdor 1000 shards</t>
  </si>
  <si>
    <t>Snaer 2500 shards</t>
  </si>
  <si>
    <t>斯奈尔 2500 零件</t>
  </si>
  <si>
    <t>破坏者 2500 零件</t>
  </si>
  <si>
    <t>Nucleon 2500 shards</t>
  </si>
  <si>
    <t>核子 2500零件</t>
  </si>
  <si>
    <t>Weapons</t>
  </si>
  <si>
    <t>武器</t>
  </si>
  <si>
    <t>Leiming 1000 shards</t>
  </si>
  <si>
    <t>雷鸣 1000 零件</t>
  </si>
  <si>
    <t>Cestus 2500 shards</t>
  </si>
  <si>
    <t>战拳 2500 零件</t>
  </si>
  <si>
    <t>Fainter 1000 shards</t>
  </si>
  <si>
    <t>昏厥 1000 零件</t>
  </si>
  <si>
    <t>Kramola 1000 shards</t>
  </si>
  <si>
    <t>Decay 1000 shards</t>
  </si>
  <si>
    <t>衰变 1000 零件</t>
  </si>
  <si>
    <t>浩劫 2500 零件</t>
  </si>
  <si>
    <t>Atomizer 2500 shards</t>
  </si>
  <si>
    <t>粒子发射器 2500零件</t>
  </si>
  <si>
    <t>Weapon components</t>
  </si>
  <si>
    <t>武器零件</t>
  </si>
  <si>
    <t>Shifang 1000 shards</t>
  </si>
  <si>
    <t>释放 1000 零件</t>
  </si>
  <si>
    <t>Hwanje 1000 shards</t>
  </si>
  <si>
    <t>帝王 1000 零件</t>
  </si>
  <si>
    <t>Splinter 1000 shards</t>
  </si>
  <si>
    <t>裂碎 1000 零件</t>
  </si>
  <si>
    <t>Labrys 2500 shards</t>
  </si>
  <si>
    <t>双刃斧 2500 零件</t>
  </si>
  <si>
    <t>Hammer 1000 shards</t>
  </si>
  <si>
    <t>榔头 1000 零件</t>
  </si>
  <si>
    <t>Puncher 1000 shards</t>
  </si>
  <si>
    <t>钻孔机 1000 零件</t>
  </si>
  <si>
    <t>Hazard 1000 shards</t>
  </si>
  <si>
    <t>危害 1000 零件</t>
  </si>
  <si>
    <t>驱散者 2500 零件</t>
  </si>
  <si>
    <t>Quarker 2500 shards</t>
  </si>
  <si>
    <t>夸克枪 2500零件</t>
  </si>
  <si>
    <t>总计</t>
  </si>
  <si>
    <t>Yeoje 1000 shards</t>
  </si>
  <si>
    <t>女帝 1000 零件</t>
  </si>
  <si>
    <t>Shatter 1000 shards</t>
  </si>
  <si>
    <t>粉碎 1000 零件</t>
  </si>
  <si>
    <t>Ksiphos 2500 shards</t>
  </si>
  <si>
    <t>双刃剑 2500 零件</t>
  </si>
  <si>
    <t>Cudgel 1000 shards</t>
  </si>
  <si>
    <t>短棍 1000 零件</t>
  </si>
  <si>
    <t>Pulsar 1000 shards</t>
  </si>
  <si>
    <t>脉冲星 1000 零件</t>
  </si>
  <si>
    <t>Blight 1000 shards</t>
  </si>
  <si>
    <t>萎疾 1000 零件</t>
  </si>
  <si>
    <t>Incinerator 1000 shards</t>
  </si>
  <si>
    <t>焚化器 1000 零件</t>
  </si>
  <si>
    <t>Devastator 1000 shards</t>
  </si>
  <si>
    <t>破坏者 1000零件</t>
  </si>
  <si>
    <t>Daeja 1000 shards</t>
  </si>
  <si>
    <t>泰迦 1000 零件</t>
  </si>
  <si>
    <t>Stake 1000 shards</t>
  </si>
  <si>
    <t>长锥 1000 零件</t>
  </si>
  <si>
    <t>Mace 1000 shards</t>
  </si>
  <si>
    <t>权杖 1000 零件</t>
  </si>
  <si>
    <t>Spear 1000 shards</t>
  </si>
  <si>
    <t>Hel 1000 shards</t>
  </si>
  <si>
    <t>赫尔 1000 零件</t>
  </si>
  <si>
    <t>Scorcher 1000 shards</t>
  </si>
  <si>
    <t>烧灼者 1000 零件</t>
  </si>
  <si>
    <t>Havoc 1000 shards</t>
  </si>
  <si>
    <t>浩劫 1000零件</t>
  </si>
  <si>
    <t>Brisant 1000 shards</t>
  </si>
  <si>
    <t>破碎 1000 零件</t>
  </si>
  <si>
    <t>Prisma 1000 shards</t>
  </si>
  <si>
    <t>Skadi 1000 shards</t>
  </si>
  <si>
    <t>斯卡蒂 1000 零件</t>
  </si>
  <si>
    <t>Sclad 1000 shards</t>
  </si>
  <si>
    <t>灼枯 1000 零件</t>
  </si>
  <si>
    <t>Scatter 1000 shards</t>
  </si>
  <si>
    <t>驱散者 1000零件</t>
  </si>
  <si>
    <t>Spike 1000 shards</t>
  </si>
  <si>
    <t>长钉 1000 零件</t>
  </si>
  <si>
    <t>Snaer 1000 shards</t>
  </si>
  <si>
    <t>斯奈尔 1000 零件</t>
  </si>
  <si>
    <t>破坏者 1000 零件</t>
  </si>
  <si>
    <t>Nucleon 1000 shards</t>
  </si>
  <si>
    <t>核子 1000零件</t>
  </si>
  <si>
    <t>Needle 1000 shards</t>
  </si>
  <si>
    <t>长针 1000 零件</t>
  </si>
  <si>
    <t>浩劫 1000 零件</t>
  </si>
  <si>
    <t>Atomizer 1000 shards</t>
  </si>
  <si>
    <t>粒子发射器 1000零件</t>
  </si>
  <si>
    <t>Magnetar 1000 shards</t>
  </si>
  <si>
    <t>磁星 1000 零件</t>
  </si>
  <si>
    <t>驱散者 1000 零件</t>
  </si>
  <si>
    <t>Quarker 1000 shards</t>
  </si>
  <si>
    <t>夸克枪 1000零件</t>
  </si>
  <si>
    <t>Cestus 1000 shards</t>
  </si>
  <si>
    <t>战拳 1000 零件</t>
  </si>
  <si>
    <t>Labrys 1000 shards</t>
  </si>
  <si>
    <t>双刃斧 1000 零件</t>
  </si>
  <si>
    <t>Ksiphos 1000 shards</t>
  </si>
  <si>
    <t>双刃剑 1000 零件</t>
  </si>
  <si>
    <t>Robot pilots</t>
  </si>
  <si>
    <t>Modules</t>
  </si>
  <si>
    <t>模块</t>
  </si>
  <si>
    <t>Robot modules</t>
  </si>
  <si>
    <t>机器人模块</t>
  </si>
  <si>
    <t>Chances</t>
  </si>
  <si>
    <t>Screamer</t>
  </si>
  <si>
    <t>咆哮者</t>
  </si>
  <si>
    <t>Pshent</t>
  </si>
  <si>
    <t>双冠</t>
  </si>
  <si>
    <t>Jotunn</t>
  </si>
  <si>
    <t>约顿</t>
  </si>
  <si>
    <t>Elox</t>
  </si>
  <si>
    <t>埃洛克斯</t>
  </si>
  <si>
    <t>武器-赫尔</t>
  </si>
  <si>
    <t>Growler</t>
  </si>
  <si>
    <t>低吼者</t>
  </si>
  <si>
    <t>Deshret</t>
  </si>
  <si>
    <t>红冠</t>
  </si>
  <si>
    <t>Chione</t>
  </si>
  <si>
    <t>奇永</t>
  </si>
  <si>
    <t>Murix</t>
  </si>
  <si>
    <t>穆瑞克斯</t>
  </si>
  <si>
    <t>武器-斯卡蒂</t>
  </si>
  <si>
    <t>Howler</t>
  </si>
  <si>
    <t>呼啸者</t>
  </si>
  <si>
    <t>Hedjet</t>
  </si>
  <si>
    <t>白冠</t>
  </si>
  <si>
    <t>Morana</t>
  </si>
  <si>
    <t>莫拉纳</t>
  </si>
  <si>
    <t>武器-斯奈尔</t>
  </si>
  <si>
    <t>Jotun</t>
  </si>
  <si>
    <t>Jotunn 5000 shards</t>
  </si>
  <si>
    <t>约顿 5000 零件</t>
  </si>
  <si>
    <t>Elox 5000 shards</t>
  </si>
  <si>
    <t>埃洛克斯 5000 零件</t>
  </si>
  <si>
    <t>武器-赫尔 5000零件</t>
  </si>
  <si>
    <t>Pshent 5000 shards</t>
  </si>
  <si>
    <t>双冠 5000 零件</t>
  </si>
  <si>
    <t>Chione 5000 shards</t>
  </si>
  <si>
    <t>奇永 5000 零件</t>
  </si>
  <si>
    <t>Murix 5000 shards</t>
  </si>
  <si>
    <t>穆瑞克斯 5000 零件</t>
  </si>
  <si>
    <t>武器-斯卡蒂 5000零件</t>
  </si>
  <si>
    <t>Screamer 5000 shards</t>
  </si>
  <si>
    <t>咆哮者 5000 零件</t>
  </si>
  <si>
    <t>Deshret 5000 shards</t>
  </si>
  <si>
    <t>红冠 5000 零件</t>
  </si>
  <si>
    <t>Morana 5000 shards</t>
  </si>
  <si>
    <t>莫拉纳 5000 零件</t>
  </si>
  <si>
    <t>武器-斯奈尔 5000零件</t>
  </si>
  <si>
    <t>Growler 5000 shards</t>
  </si>
  <si>
    <t>低吼者 5000 零件</t>
  </si>
  <si>
    <t>Hedjet 5000 shards</t>
  </si>
  <si>
    <t>白冠 5000 零件</t>
  </si>
  <si>
    <t>焚化器 5000零件</t>
  </si>
  <si>
    <t>Howler 5000 shards</t>
  </si>
  <si>
    <t>呼啸者 5000 零件</t>
  </si>
  <si>
    <t>Jotun 5000 shards</t>
  </si>
  <si>
    <t>烧灼者 5000零件</t>
  </si>
  <si>
    <t>灼枯 5000零件</t>
  </si>
  <si>
    <t>萎疾 5000零件</t>
  </si>
  <si>
    <t>危害 5000零件</t>
  </si>
  <si>
    <t>衰变 5000零件</t>
  </si>
  <si>
    <t>Jotunn 2500 shards</t>
  </si>
  <si>
    <t>约顿 2500 零件</t>
  </si>
  <si>
    <t>Elox 2500 shards</t>
  </si>
  <si>
    <t>埃洛克斯 2500 零件</t>
  </si>
  <si>
    <t>武器-赫尔 2500零件</t>
  </si>
  <si>
    <t>Chione 2500 shards</t>
  </si>
  <si>
    <t>奇永 2500 零件</t>
  </si>
  <si>
    <t>Murix 2500 shards</t>
  </si>
  <si>
    <t>穆瑞克斯 2500 零件</t>
  </si>
  <si>
    <t>武器-斯卡蒂 2500零件</t>
  </si>
  <si>
    <t>奇永 莫拉纳 5000 零件</t>
  </si>
  <si>
    <t>Pshent 2500 shards</t>
  </si>
  <si>
    <t>双冠 2500 零件</t>
  </si>
  <si>
    <t>Morana 2500 shards</t>
  </si>
  <si>
    <t>莫拉纳 2500 零件</t>
  </si>
  <si>
    <t>武器-斯奈尔 2500零件</t>
  </si>
  <si>
    <t>Deshret 2500 shards</t>
  </si>
  <si>
    <t>红冠 2500 零件</t>
  </si>
  <si>
    <t>焚化器 2500零件</t>
  </si>
  <si>
    <t>Screamer 2500 shards</t>
  </si>
  <si>
    <t>咆哮者 2500 零件</t>
  </si>
  <si>
    <t>Hedjet 2500 shards</t>
  </si>
  <si>
    <t>白冠 2500 零件</t>
  </si>
  <si>
    <t>烧灼者 2500零件</t>
  </si>
  <si>
    <t>Growler 2500 shards</t>
  </si>
  <si>
    <t>低吼者 2500 零件</t>
  </si>
  <si>
    <t>Jotun 2500 shards</t>
  </si>
  <si>
    <t>灼枯 2500零件</t>
  </si>
  <si>
    <t>Howler 2500 shards</t>
  </si>
  <si>
    <t>呼啸者 2500 零件</t>
  </si>
  <si>
    <t>萎疾 2500零件</t>
  </si>
  <si>
    <t>危害 2500零件</t>
  </si>
  <si>
    <t>衰变 2500零件</t>
  </si>
  <si>
    <t>Jotunn 1000 shards</t>
  </si>
  <si>
    <t>约顿 1000 零件</t>
  </si>
  <si>
    <t>Elox 1000 shards</t>
  </si>
  <si>
    <t>埃洛克斯 1000 零件</t>
  </si>
  <si>
    <t>武器-赫尔 1000零件</t>
  </si>
  <si>
    <t>Chione 1000 shards</t>
  </si>
  <si>
    <t>奇永 1000 零件</t>
  </si>
  <si>
    <t>Murix 1000 shards</t>
  </si>
  <si>
    <t>穆瑞克斯 1000 零件</t>
  </si>
  <si>
    <t>DP4</t>
  </si>
  <si>
    <t>武器-斯卡蒂 1000零件</t>
  </si>
  <si>
    <t>Morana 1000 shards</t>
  </si>
  <si>
    <t>莫拉纳 1000 零件</t>
  </si>
  <si>
    <t>Weapons (new)</t>
  </si>
  <si>
    <t>新武器</t>
  </si>
  <si>
    <t>Weapons (old)</t>
  </si>
  <si>
    <t>旧武器</t>
  </si>
  <si>
    <t>武器-斯奈尔 1000零件</t>
  </si>
  <si>
    <t>Pshent 1000 shards</t>
  </si>
  <si>
    <t>双冠 1000 零件</t>
  </si>
  <si>
    <t>Weapon shards (old)</t>
  </si>
  <si>
    <t>旧武器零件</t>
  </si>
  <si>
    <t>焚化器 1000零件</t>
  </si>
  <si>
    <t>奇永 莫拉纳 2500 零件</t>
  </si>
  <si>
    <t>Deshret 1000 shards</t>
  </si>
  <si>
    <t>红冠 1000 零件</t>
  </si>
  <si>
    <t>Weapon shards (new)</t>
  </si>
  <si>
    <t>新武器零件</t>
  </si>
  <si>
    <t>DP</t>
  </si>
  <si>
    <t>烧灼者 1000零件</t>
  </si>
  <si>
    <t>Hedjet 1000 shards</t>
  </si>
  <si>
    <t>白冠 1000 零件</t>
  </si>
  <si>
    <t>武器数据板（黄金）</t>
  </si>
  <si>
    <t>长矛1000 零件</t>
  </si>
  <si>
    <t>灼枯 1000零件</t>
  </si>
  <si>
    <t>Screamer 1000 shards</t>
  </si>
  <si>
    <t>咆哮者 1000 零件</t>
  </si>
  <si>
    <t>Jotun 1000 shards</t>
  </si>
  <si>
    <t>萎疾 1000零件</t>
  </si>
  <si>
    <t>Growler 1000 shards</t>
  </si>
  <si>
    <t>低吼者 1000 零件</t>
  </si>
  <si>
    <t>危害 1000零件</t>
  </si>
  <si>
    <t>Howler 1000 shards</t>
  </si>
  <si>
    <t>呼啸者 1000 零件</t>
  </si>
  <si>
    <t>衰变 1000零件</t>
  </si>
  <si>
    <t>新武器碎片</t>
  </si>
  <si>
    <t>旧武器碎片</t>
  </si>
  <si>
    <t>奇永 莫拉纳 1000 零件</t>
  </si>
  <si>
    <t>兀鹰</t>
  </si>
  <si>
    <t>Teth</t>
  </si>
  <si>
    <t>泰特</t>
  </si>
  <si>
    <t>Pathfinder</t>
  </si>
  <si>
    <t>探路者</t>
  </si>
  <si>
    <t>Rex</t>
  </si>
  <si>
    <t>雷克斯</t>
  </si>
  <si>
    <t>机甲-法夫纳</t>
  </si>
  <si>
    <t>Hawk</t>
  </si>
  <si>
    <t>霍克</t>
  </si>
  <si>
    <t>Livia Borgia</t>
  </si>
  <si>
    <t>Bast_Neferu</t>
  </si>
  <si>
    <t>巴斯特·内费鲁</t>
  </si>
  <si>
    <t>John Orsted</t>
  </si>
  <si>
    <t>约翰·奥斯特德</t>
  </si>
  <si>
    <t>Ridge Hollow</t>
  </si>
  <si>
    <t>瑞奇·霍罗</t>
  </si>
  <si>
    <t>Shenlou 500 shards</t>
  </si>
  <si>
    <t>蜃楼 500 零件</t>
  </si>
  <si>
    <t>Curie 500 shards</t>
  </si>
  <si>
    <t>居里 500 零件</t>
  </si>
  <si>
    <t>Imugi 500 shards</t>
  </si>
  <si>
    <t>螭兽 500 零件</t>
  </si>
  <si>
    <t>Ochokochi 500 shards</t>
  </si>
  <si>
    <t>奥乔科奇 500 零件</t>
  </si>
  <si>
    <t>Lynx 500 shards</t>
  </si>
  <si>
    <t>猞猁 500 零件</t>
  </si>
  <si>
    <t>Dagon 500 shards</t>
  </si>
  <si>
    <t>达贡 500 零件</t>
  </si>
  <si>
    <t>Stefan Benson (Ophion)</t>
  </si>
  <si>
    <t>Captain Clyde (Mars)</t>
  </si>
  <si>
    <t>克莱德船长 (火星)</t>
  </si>
  <si>
    <t>Vepkho ?</t>
  </si>
  <si>
    <t>Theseus (Skyros)</t>
  </si>
  <si>
    <t>Rolf Garcia (Nether)</t>
  </si>
  <si>
    <t>刘易斯·邓肯 (提丰)</t>
  </si>
  <si>
    <t>Roberto Baros (Skyros)</t>
  </si>
  <si>
    <t>3V3R3TT (Nether)</t>
  </si>
  <si>
    <t>里维尔·奇斯 (提丰)</t>
  </si>
  <si>
    <t>机师-乔汉娜·福林 (法夫纳)</t>
  </si>
  <si>
    <t>机师-乔汉娜·福林（法夫纳）</t>
  </si>
  <si>
    <t>Pathfinder 5000 shards</t>
  </si>
  <si>
    <t>探路者 5000 零件</t>
  </si>
  <si>
    <t>Rex 5000 shards</t>
  </si>
  <si>
    <t>雷克斯 5000 零件</t>
  </si>
  <si>
    <t>Anna Basarab (Mars)</t>
  </si>
  <si>
    <t>Damned Johnny (Hawk)</t>
  </si>
  <si>
    <t>疯癫约翰尼 (霍克)</t>
  </si>
  <si>
    <t>机师-斯维雅托格·贝洛夫 (法夫纳)</t>
  </si>
  <si>
    <t>机师-斯维雅托格·贝洛夫（法夫纳）</t>
  </si>
  <si>
    <t>兀鹰 5000 零件</t>
  </si>
  <si>
    <t>Teth 5000 shards</t>
  </si>
  <si>
    <t>泰特 5000 零件</t>
  </si>
  <si>
    <t>Kyle Rogers (Hawk)</t>
  </si>
  <si>
    <t>凯尔·罗杰斯 (霍克)</t>
  </si>
  <si>
    <t>机师-诺亚·米纳克斯（法夫纳）</t>
  </si>
  <si>
    <t>Ophion 500 shards</t>
  </si>
  <si>
    <t>俄菲翁 500 零件</t>
  </si>
  <si>
    <t>Misaki and Ponchy (Khepri)</t>
  </si>
  <si>
    <t>机师-上野美咲和庞奇（凯布利）</t>
  </si>
  <si>
    <t>伊丽莎白·格林 (俄菲翁)</t>
  </si>
  <si>
    <t>Pathfinder 2500 shards</t>
  </si>
  <si>
    <t>探路者 2500 零件</t>
  </si>
  <si>
    <t>Rex 2500 shards</t>
  </si>
  <si>
    <t>雷克斯 2500 零件</t>
  </si>
  <si>
    <t>Vepkho Lovidze</t>
  </si>
  <si>
    <t>斯特凡·本森 (俄菲翁)</t>
  </si>
  <si>
    <t>兀鹰 2500 零件</t>
  </si>
  <si>
    <t>Teth 2500 shards</t>
  </si>
  <si>
    <t>泰特 2500 零件</t>
  </si>
  <si>
    <t>Hawk 5000 shards</t>
  </si>
  <si>
    <t>艾什·斯卡思加德（天蝎）</t>
  </si>
  <si>
    <t>霍克 5000 零件</t>
  </si>
  <si>
    <t>Hapry 5000 shards</t>
  </si>
  <si>
    <t>伊斯克拉（天蝎）</t>
  </si>
  <si>
    <t>安德烈·科瓦索夫（比蒙）</t>
  </si>
  <si>
    <t>Pathfinder 1000 shards</t>
  </si>
  <si>
    <t>探路者 1000 零件</t>
  </si>
  <si>
    <t>Rex 1000 shards</t>
  </si>
  <si>
    <t>雷克斯 1000 零件</t>
  </si>
  <si>
    <t>琳达·卡诺（躯壳）</t>
  </si>
  <si>
    <t>兀鹰 1000 零件</t>
  </si>
  <si>
    <t>Teth 1000 shards</t>
  </si>
  <si>
    <t>泰特 1000 零件</t>
  </si>
  <si>
    <t>Skyros 500 shards</t>
  </si>
  <si>
    <t>乾坤球 500 零件</t>
  </si>
  <si>
    <t>Hawk 2500 shards</t>
  </si>
  <si>
    <t>德鲁·汤普金斯（躯壳）</t>
  </si>
  <si>
    <t>忒修斯（乾坤球）</t>
  </si>
  <si>
    <t>霍克 2500 零件</t>
  </si>
  <si>
    <t>Hapry 2500 shards</t>
  </si>
  <si>
    <t>里卡多·冈萨雷斯（亡魂）</t>
  </si>
  <si>
    <t>DP5</t>
  </si>
  <si>
    <t>罗伯托·巴洛斯（乾坤球）</t>
  </si>
  <si>
    <t>瓦西里萨·马克西莫娃（亡魂）</t>
  </si>
  <si>
    <t>Pathfinder 500 shards</t>
  </si>
  <si>
    <t>探路者 500 零件</t>
  </si>
  <si>
    <t>Rex 500 shards</t>
  </si>
  <si>
    <t>雷克斯 500 零件</t>
  </si>
  <si>
    <t>Dux 500 shards</t>
  </si>
  <si>
    <t>杜克斯 500 零件</t>
  </si>
  <si>
    <t>兀鹰 500 零件</t>
  </si>
  <si>
    <t>Teth 500 shards</t>
  </si>
  <si>
    <t>泰特 500 零件</t>
  </si>
  <si>
    <t>Ravager 500 shards</t>
  </si>
  <si>
    <t>毁坏者 500 零件</t>
  </si>
  <si>
    <t>Hawk 1000 shards</t>
  </si>
  <si>
    <t>Nuo 500 shards</t>
  </si>
  <si>
    <t>诺欧 500 零件</t>
  </si>
  <si>
    <t>Lio 500 shards</t>
  </si>
  <si>
    <t>里奥 500 零件</t>
  </si>
  <si>
    <t>Samjok 500 shards</t>
  </si>
  <si>
    <t>焱鸦 500 零件</t>
  </si>
  <si>
    <t>霍克 1000 零件</t>
  </si>
  <si>
    <t>Hapry 1000 shards</t>
  </si>
  <si>
    <t>SWORD Unit-190 500 shards</t>
  </si>
  <si>
    <t>天剑190式 500 零件</t>
  </si>
  <si>
    <t>机甲-法夫纳 5000零件</t>
  </si>
  <si>
    <t>Mars 500 shards</t>
  </si>
  <si>
    <t>火星 500 零件</t>
  </si>
  <si>
    <t>芬里尔 5000零件</t>
  </si>
  <si>
    <t>安娜·巴萨拉布（火星）</t>
  </si>
  <si>
    <t>Hawk 500 shards</t>
  </si>
  <si>
    <t>内瑟尔 500 零件</t>
  </si>
  <si>
    <t>Erebus 500 shards</t>
  </si>
  <si>
    <t>厄瑞玻斯 500 零件</t>
  </si>
  <si>
    <t>天蝎 5000零件</t>
  </si>
  <si>
    <t>克莱德船长（火星）</t>
  </si>
  <si>
    <t>Nether 500 shards</t>
  </si>
  <si>
    <t>霍克 500 零件</t>
  </si>
  <si>
    <t>Hapry 500 shards</t>
  </si>
  <si>
    <t>哈皮 500 零件</t>
  </si>
  <si>
    <t>比蒙 5000零件</t>
  </si>
  <si>
    <t>Fenrir 500 shards</t>
  </si>
  <si>
    <t>芬里尔 500 零件</t>
  </si>
  <si>
    <t>躯壳 5000零件</t>
  </si>
  <si>
    <t>机器人数据板（黄金）</t>
  </si>
  <si>
    <t>Scorpion 500 shards</t>
  </si>
  <si>
    <t>天蝎 500 零件</t>
  </si>
  <si>
    <t>亡魂 5000零件</t>
  </si>
  <si>
    <t>芬里尔 2500零件</t>
  </si>
  <si>
    <t>天蝎 2500零件</t>
  </si>
  <si>
    <t>比蒙 2500零件</t>
  </si>
  <si>
    <t>躯壳 2500零件</t>
  </si>
  <si>
    <t>亡魂 2500零件</t>
  </si>
  <si>
    <t>机甲-法夫纳 1000零件</t>
  </si>
  <si>
    <t>芬里尔 1000零件</t>
  </si>
  <si>
    <t>天蝎 1000零件</t>
  </si>
  <si>
    <t>比蒙 1000零件</t>
  </si>
  <si>
    <t>躯壳 1000零件</t>
  </si>
  <si>
    <t>亡魂 1000零件</t>
  </si>
  <si>
    <t>Ardent Hwanje</t>
  </si>
  <si>
    <t>炽烈帝王</t>
  </si>
  <si>
    <t>Baihu Stake</t>
  </si>
  <si>
    <t>白虎长锥</t>
  </si>
  <si>
    <t>治安官磁星</t>
  </si>
  <si>
    <t>Gothic Fainter</t>
  </si>
  <si>
    <t>哥特派昏厥</t>
  </si>
  <si>
    <t>Stellar Prisma</t>
  </si>
  <si>
    <t>星芒棱镜</t>
  </si>
  <si>
    <t>Spirit Smuta</t>
  </si>
  <si>
    <t>圣灵动乱</t>
  </si>
  <si>
    <t>Teremok Hel</t>
  </si>
  <si>
    <t>隐居地赫尔</t>
  </si>
  <si>
    <t>Ardent Yeoje</t>
  </si>
  <si>
    <t>炽烈女帝</t>
  </si>
  <si>
    <t>Unknown Splinter</t>
  </si>
  <si>
    <t>未知裂碎</t>
  </si>
  <si>
    <t>Quicksand Labrys</t>
  </si>
  <si>
    <t>流沙双刃斧</t>
  </si>
  <si>
    <t>Sinister Pulsar</t>
  </si>
  <si>
    <t>不详脉冲星</t>
  </si>
  <si>
    <t>Spirit Razdor</t>
  </si>
  <si>
    <t>圣灵分裂</t>
  </si>
  <si>
    <t>Corrupted Skadi</t>
  </si>
  <si>
    <t>腐化斯卡蒂</t>
  </si>
  <si>
    <t>Ardent Daeja</t>
  </si>
  <si>
    <t>炽烈泰迦</t>
  </si>
  <si>
    <t>Unknown Shatter</t>
  </si>
  <si>
    <t>未知粉碎</t>
  </si>
  <si>
    <t>Ardent Spear</t>
  </si>
  <si>
    <t>炽烈长矛</t>
  </si>
  <si>
    <t>Eldrich Kramola</t>
  </si>
  <si>
    <t>怪异叛乱</t>
  </si>
  <si>
    <t>Teremok Snaer</t>
  </si>
  <si>
    <t>隐居地斯奈尔</t>
  </si>
  <si>
    <t>Dread Incinerator</t>
  </si>
  <si>
    <t>恐惧焚化器</t>
  </si>
  <si>
    <t>Sheriff Magnetar</t>
  </si>
  <si>
    <t>自由榔头</t>
  </si>
  <si>
    <t>Warrior Scorcher</t>
  </si>
  <si>
    <t>勇士烧灼者</t>
  </si>
  <si>
    <t>自由短棍</t>
  </si>
  <si>
    <t>Dread Sclad</t>
  </si>
  <si>
    <t>恐惧灼枯</t>
  </si>
  <si>
    <t>自由权杖</t>
  </si>
  <si>
    <t>Eldritch Blight</t>
  </si>
  <si>
    <t>怪异萎疾</t>
  </si>
  <si>
    <t>Cryptic Hazard</t>
  </si>
  <si>
    <t>隐秘危害</t>
  </si>
  <si>
    <t>Unknown Decay</t>
  </si>
  <si>
    <t>未知衰变</t>
  </si>
  <si>
    <t>Condor</t>
  </si>
  <si>
    <t>Ardent Imugi</t>
  </si>
  <si>
    <t>炽烈螭兽</t>
  </si>
  <si>
    <t>Unknown Ochokochi</t>
  </si>
  <si>
    <t>未知奥乔科奇</t>
  </si>
  <si>
    <t>Baihu Lynx</t>
  </si>
  <si>
    <t>白虎猞猁</t>
  </si>
  <si>
    <t>冰冻达贡</t>
  </si>
  <si>
    <t>Quicksand Ophion</t>
  </si>
  <si>
    <t>流沙俄菲翁</t>
  </si>
  <si>
    <t>Frozen Dagon</t>
  </si>
  <si>
    <t>Khepri</t>
  </si>
  <si>
    <t>机甲-凯布利</t>
  </si>
  <si>
    <t>自由乾坤球</t>
  </si>
  <si>
    <t>Cryptic Fenrir</t>
  </si>
  <si>
    <t>隐秘芬里尔</t>
  </si>
  <si>
    <t>Qingting</t>
  </si>
  <si>
    <t>蜻蜓</t>
  </si>
  <si>
    <t>Pascal</t>
  </si>
  <si>
    <t>帕斯卡</t>
  </si>
  <si>
    <t>Daltokki</t>
  </si>
  <si>
    <t>月兔</t>
  </si>
  <si>
    <t>Hiruko</t>
  </si>
  <si>
    <t>蛭子</t>
  </si>
  <si>
    <t>Kestrel</t>
  </si>
  <si>
    <t>茶隼</t>
  </si>
  <si>
    <t>Techno Scorpion</t>
  </si>
  <si>
    <t>科技天蝎</t>
  </si>
  <si>
    <t>Wave</t>
  </si>
  <si>
    <t>浪潮</t>
  </si>
  <si>
    <t>Scarabeus</t>
  </si>
  <si>
    <t>圣甲虫</t>
  </si>
  <si>
    <t>Freezo</t>
  </si>
  <si>
    <t>弗雷佐</t>
  </si>
  <si>
    <t>Bull</t>
  </si>
  <si>
    <t>公牛</t>
  </si>
  <si>
    <t>Webby</t>
  </si>
  <si>
    <t>蛛网</t>
  </si>
  <si>
    <t>Chongue</t>
  </si>
  <si>
    <t>苍犬</t>
  </si>
  <si>
    <t>Moderator</t>
  </si>
  <si>
    <t>仲裁者</t>
  </si>
  <si>
    <t>Seeker</t>
  </si>
  <si>
    <t>猎奇者</t>
  </si>
  <si>
    <t>Shai</t>
  </si>
  <si>
    <t>萨伊</t>
  </si>
  <si>
    <t>Beak</t>
  </si>
  <si>
    <t>鸟喙</t>
  </si>
  <si>
    <t>Ardent Behemoth</t>
  </si>
  <si>
    <t>炽烈比蒙</t>
  </si>
  <si>
    <t>Aopo</t>
  </si>
  <si>
    <t>奥波</t>
  </si>
  <si>
    <t>WARD DSC 6</t>
  </si>
  <si>
    <t>沃德 D-39</t>
  </si>
  <si>
    <t>Paralysis</t>
  </si>
  <si>
    <t>瘫痪</t>
  </si>
  <si>
    <t>Dread Shell</t>
  </si>
  <si>
    <t>恐惧躯壳</t>
  </si>
  <si>
    <t>Seven ?</t>
  </si>
  <si>
    <t>Levi Hickok</t>
  </si>
  <si>
    <t>利未·希科克</t>
  </si>
  <si>
    <t>Armadillo</t>
  </si>
  <si>
    <t>犰狳</t>
  </si>
  <si>
    <t>Scavenger Shell</t>
  </si>
  <si>
    <t>拾荒者躯壳</t>
  </si>
  <si>
    <t>Zoe Billotte</t>
  </si>
  <si>
    <t>Reviver</t>
  </si>
  <si>
    <t>复活者</t>
  </si>
  <si>
    <t>Retro Revenant</t>
  </si>
  <si>
    <t>复古亡魂</t>
  </si>
  <si>
    <t>沃德D-39</t>
  </si>
  <si>
    <t>无人机</t>
  </si>
  <si>
    <t>Drones</t>
  </si>
  <si>
    <t>Barrel</t>
  </si>
  <si>
    <t>圆筒</t>
  </si>
  <si>
    <t>Ultimate_Calamity</t>
  </si>
  <si>
    <t>终极版灾难</t>
  </si>
  <si>
    <t>Ultimate_Avenger</t>
  </si>
  <si>
    <t>终极版惩恶者</t>
  </si>
  <si>
    <t>Ultimate_Ao_Jun</t>
  </si>
  <si>
    <t>终极敖顺</t>
  </si>
  <si>
    <t>Ultimate_Fujin</t>
  </si>
  <si>
    <t>终极风神</t>
  </si>
  <si>
    <t>Ultimate Invader</t>
  </si>
  <si>
    <t>终极入侵者</t>
  </si>
  <si>
    <t>Ultimate_Mender</t>
  </si>
  <si>
    <t>终极修缮者</t>
  </si>
  <si>
    <t>Ultimate Fujin</t>
  </si>
  <si>
    <t>Ultimate Spectre</t>
  </si>
  <si>
    <t>终极幽冥</t>
  </si>
  <si>
    <t>Ultimate Ares</t>
  </si>
  <si>
    <t>终极阿瑞斯</t>
  </si>
  <si>
    <t>终极版阿瑞斯</t>
  </si>
  <si>
    <t>终极版幽冥</t>
  </si>
  <si>
    <t>Ultimate_Vortex</t>
  </si>
  <si>
    <t>终极版涡流</t>
  </si>
  <si>
    <t>Ultimate_Cryo</t>
  </si>
  <si>
    <t>终极版极寒</t>
  </si>
  <si>
    <t>Ultimate Tulumbas</t>
  </si>
  <si>
    <t>终极版图卢姆巴斯</t>
  </si>
  <si>
    <t>Ultimate_Hussar</t>
  </si>
  <si>
    <t>终极版轻骑兵</t>
  </si>
  <si>
    <t>Ultimate Squall</t>
  </si>
  <si>
    <t>终极版狂风</t>
  </si>
  <si>
    <t>Ultimate_Shocktrain</t>
  </si>
  <si>
    <t>终极版天火</t>
  </si>
  <si>
    <t>Ultimate Calamity</t>
  </si>
  <si>
    <t>ULT ARM-L</t>
  </si>
  <si>
    <t>终极等离子炮L-85</t>
  </si>
  <si>
    <t>Ultimate Blaze</t>
  </si>
  <si>
    <t>终极版烈焰</t>
  </si>
  <si>
    <t>Ultimate Gendarme</t>
  </si>
  <si>
    <t>终极版宪兵</t>
  </si>
  <si>
    <t>Ultimate Glory</t>
  </si>
  <si>
    <t>终极版荣耀</t>
  </si>
  <si>
    <t>Ultimate Orkan</t>
  </si>
  <si>
    <t>终极版奥坎</t>
  </si>
  <si>
    <t>Ultimate_Igniter</t>
  </si>
  <si>
    <t>终极版发射器</t>
  </si>
  <si>
    <t>Ultimate Avenger</t>
  </si>
  <si>
    <t>Ultimate_Dragoon</t>
  </si>
  <si>
    <t>终极版龙骑兵</t>
  </si>
  <si>
    <t>Ultimate Halo</t>
  </si>
  <si>
    <t>终极版光轮</t>
  </si>
  <si>
    <t>Ultimate_Punisher_T</t>
  </si>
  <si>
    <t>终极版惩罚者中型</t>
  </si>
  <si>
    <t>ULT ARM-M</t>
  </si>
  <si>
    <t>终极等离子炮M-82</t>
  </si>
  <si>
    <t>Ultimate Igniter</t>
  </si>
  <si>
    <t>Ultimate Ion</t>
  </si>
  <si>
    <t>终极版离子</t>
  </si>
  <si>
    <t>Ultimate Corona</t>
  </si>
  <si>
    <t>终极版日冕</t>
  </si>
  <si>
    <t>Ultimate Pulsar</t>
  </si>
  <si>
    <t>终极版脉冲星</t>
  </si>
  <si>
    <t>1mktoken</t>
  </si>
  <si>
    <t>升级代币*1</t>
  </si>
  <si>
    <t>Ultimate_Halo</t>
  </si>
  <si>
    <t>3mktoken</t>
  </si>
  <si>
    <t>升级代币*3</t>
  </si>
  <si>
    <t>Ultimate_Blaze</t>
  </si>
  <si>
    <t>Ultimate Shocktrain</t>
  </si>
  <si>
    <t>Mauler</t>
  </si>
  <si>
    <t>拳击手</t>
  </si>
  <si>
    <t>Bjorn</t>
  </si>
  <si>
    <t>比约恩</t>
  </si>
  <si>
    <t>Devourer</t>
  </si>
  <si>
    <t>吞食者</t>
  </si>
  <si>
    <t>Bedwyr</t>
  </si>
  <si>
    <t>贝德维尔</t>
  </si>
  <si>
    <t>Newton</t>
  </si>
  <si>
    <t>牛顿</t>
  </si>
  <si>
    <t>Rook</t>
  </si>
  <si>
    <t>战车</t>
  </si>
  <si>
    <t>Aether</t>
  </si>
  <si>
    <t>以太</t>
  </si>
  <si>
    <t>Luchador</t>
  </si>
  <si>
    <t>摔角王</t>
  </si>
  <si>
    <t>泰坦-摔角王</t>
  </si>
  <si>
    <t>Anguisher</t>
  </si>
  <si>
    <t>悲恸者</t>
  </si>
  <si>
    <t>Huginn</t>
  </si>
  <si>
    <t>胡金</t>
  </si>
  <si>
    <t>Arbiter</t>
  </si>
  <si>
    <t>主宰者</t>
  </si>
  <si>
    <t>Inferno</t>
  </si>
  <si>
    <t>火海</t>
  </si>
  <si>
    <t>Tonans</t>
  </si>
  <si>
    <t>托南斯</t>
  </si>
  <si>
    <t>Argon</t>
  </si>
  <si>
    <t>阿尔贡</t>
  </si>
  <si>
    <t>Glaive</t>
  </si>
  <si>
    <t>阔剑</t>
  </si>
  <si>
    <t>Sirius</t>
  </si>
  <si>
    <t>天狼星</t>
  </si>
  <si>
    <t>泰坦-天狼星</t>
  </si>
  <si>
    <t>Ruiner</t>
  </si>
  <si>
    <t>毁灭者</t>
  </si>
  <si>
    <t>Muninn</t>
  </si>
  <si>
    <t>穆宁</t>
  </si>
  <si>
    <t>Equalizer</t>
  </si>
  <si>
    <t>均衡者</t>
  </si>
  <si>
    <t>Pyro</t>
  </si>
  <si>
    <t>炙焰</t>
  </si>
  <si>
    <t>Fulgur</t>
  </si>
  <si>
    <t>闪电</t>
  </si>
  <si>
    <t>Oxy</t>
  </si>
  <si>
    <t>奥克谢</t>
  </si>
  <si>
    <t>Lance</t>
  </si>
  <si>
    <t>长枪</t>
  </si>
  <si>
    <t>Veyron</t>
  </si>
  <si>
    <t>威龙 (阿尔法)</t>
  </si>
  <si>
    <t>Veyron (a)</t>
  </si>
  <si>
    <t>Nina Kessler</t>
  </si>
  <si>
    <t>尼娜·凯斯勒</t>
  </si>
  <si>
    <t>Sigrid Solmer</t>
  </si>
  <si>
    <t>西格里德·索尔默</t>
  </si>
  <si>
    <t>Liam Сrag</t>
  </si>
  <si>
    <t>利亚姆·克雷格</t>
  </si>
  <si>
    <t>Toshiro Kurosawa</t>
  </si>
  <si>
    <t>黑泽敏郎</t>
  </si>
  <si>
    <t>Jude Pryce Titan</t>
  </si>
  <si>
    <t>裘德·普莱斯</t>
  </si>
  <si>
    <t>Nessa Riggs Titan</t>
  </si>
  <si>
    <t>内萨·里格斯（泰坦）</t>
  </si>
  <si>
    <t>Evora</t>
  </si>
  <si>
    <t>埃武拉 (贝塔)</t>
  </si>
  <si>
    <t>Evora (b)</t>
  </si>
  <si>
    <t>威龙</t>
  </si>
  <si>
    <t>Titans</t>
  </si>
  <si>
    <t>泰坦</t>
  </si>
  <si>
    <t>埃武拉</t>
  </si>
  <si>
    <t>Titan weapons</t>
  </si>
  <si>
    <t>泰坦武器</t>
  </si>
  <si>
    <t>雷电</t>
  </si>
  <si>
    <t>Titan pilots</t>
  </si>
  <si>
    <t>泰坦机师</t>
  </si>
  <si>
    <t>Сondor</t>
  </si>
  <si>
    <t>Prime SWORD Unit 190_1</t>
  </si>
  <si>
    <t>元祖天剑191式</t>
  </si>
  <si>
    <t>Retro Crisis</t>
  </si>
  <si>
    <t>复古危机</t>
  </si>
  <si>
    <t>Prime ARM L-83_1</t>
  </si>
  <si>
    <t>元祖等离子炮L-84</t>
  </si>
  <si>
    <t>Retro Reaper</t>
  </si>
  <si>
    <t>复古收割者</t>
  </si>
  <si>
    <t>Prime ARM M-80_1</t>
  </si>
  <si>
    <t>元祖等离子炮M-81</t>
  </si>
  <si>
    <t>Showdown</t>
  </si>
  <si>
    <t>决战</t>
  </si>
  <si>
    <t>Prime WARD DSC 6_1</t>
  </si>
  <si>
    <t>元祖沃德D-40</t>
  </si>
  <si>
    <t>Gintare Kairyte</t>
  </si>
  <si>
    <t>金塔莉·凯瑞泰</t>
  </si>
  <si>
    <t>Bast Neferu</t>
  </si>
  <si>
    <t>Ridge Hollow (Rex)</t>
  </si>
  <si>
    <t>Miharu Sharpe (SWORD Unit-190)_1</t>
  </si>
  <si>
    <t>Fengbao 500 shards</t>
  </si>
  <si>
    <t>风暴 500 零件</t>
  </si>
  <si>
    <t>Leiming 500 shards</t>
  </si>
  <si>
    <t>雷鸣 500 零件</t>
  </si>
  <si>
    <t>DP9</t>
  </si>
  <si>
    <t>Robots shards</t>
  </si>
  <si>
    <t>Weapon shards</t>
  </si>
  <si>
    <t>赏金数据板</t>
  </si>
  <si>
    <t>Noir Shenlou</t>
  </si>
  <si>
    <t>黑暗蜃楼</t>
  </si>
  <si>
    <t>Baihu Lyxn</t>
  </si>
  <si>
    <t>Noir Fengbao</t>
  </si>
  <si>
    <t>黑暗风暴</t>
  </si>
  <si>
    <t>Baihu Staker</t>
  </si>
  <si>
    <t>Glaive (a)</t>
  </si>
  <si>
    <t>阔剑 (阿尔法)</t>
  </si>
  <si>
    <t>Noir Leiming</t>
  </si>
  <si>
    <t>黑暗雷鸣</t>
  </si>
  <si>
    <t>Lance (b)</t>
  </si>
  <si>
    <t>长枪 (贝塔)</t>
  </si>
  <si>
    <t>内萨·里格斯</t>
  </si>
  <si>
    <t>塞文</t>
  </si>
  <si>
    <t>DP6</t>
  </si>
  <si>
    <t>游戏内奖励投放</t>
  </si>
  <si>
    <t>线下商城售卖+游戏内奖励投放</t>
  </si>
  <si>
    <t>终极数据板</t>
  </si>
  <si>
    <t>Condor 5000 shards</t>
  </si>
  <si>
    <t>Condor 2500 shards</t>
  </si>
  <si>
    <t>Condor 1000 shards</t>
  </si>
  <si>
    <t>Condor 500 shards</t>
  </si>
  <si>
    <t>Screamer 500 shards</t>
  </si>
  <si>
    <t>咆哮者 500 零件</t>
  </si>
  <si>
    <t>Pshent 500 shards</t>
  </si>
  <si>
    <t>双冠 500 零件</t>
  </si>
  <si>
    <t>Chione 500 shards</t>
  </si>
  <si>
    <t>约顿 500 零件</t>
  </si>
  <si>
    <t>Elox 500 shards</t>
  </si>
  <si>
    <t>埃洛克斯 500 零件</t>
  </si>
  <si>
    <t>Discipline 500 shards</t>
  </si>
  <si>
    <t>戒律 500 零件</t>
  </si>
  <si>
    <t>ARM L-83 500 shards</t>
  </si>
  <si>
    <t>等离子炮L-83 500 零件</t>
  </si>
  <si>
    <t>Howler 500 shards</t>
  </si>
  <si>
    <t>呼啸者 500 零件</t>
  </si>
  <si>
    <t>Deshret 500 shards</t>
  </si>
  <si>
    <t>红冠 500 零件</t>
  </si>
  <si>
    <t>Jotunn 500 shards</t>
  </si>
  <si>
    <t>奇永 500 零件</t>
  </si>
  <si>
    <t>Murix 500 shards</t>
  </si>
  <si>
    <t>穆瑞克斯 500 零件</t>
  </si>
  <si>
    <t>Smite 500 shards</t>
  </si>
  <si>
    <t>重击 500 零件</t>
  </si>
  <si>
    <t>ARM M-80 500 shards</t>
  </si>
  <si>
    <t>等离子炮M-80 500 零件</t>
  </si>
  <si>
    <t>DP8</t>
  </si>
  <si>
    <t>DP12</t>
  </si>
  <si>
    <t>Leinani 500 shards</t>
  </si>
  <si>
    <t>雷纳尼 500 零件</t>
  </si>
  <si>
    <t>Weapons components</t>
  </si>
  <si>
    <t>Hedjet 500 shards</t>
  </si>
  <si>
    <t>白冠 500 零件</t>
  </si>
  <si>
    <t>Morana 500 shards</t>
  </si>
  <si>
    <t>莫拉纳 500 零件</t>
  </si>
  <si>
    <t>Nanea 500 shards</t>
  </si>
  <si>
    <t>纳涅阿 500 零件</t>
  </si>
  <si>
    <t>DP10参考610天剑数据板的分发模式，首周开始以礼包形式售卖
DP12限量直售，DP10中可以抽到DP12</t>
  </si>
  <si>
    <t>Bersagliere</t>
  </si>
  <si>
    <t>神枪手</t>
  </si>
  <si>
    <t>Vendicatore</t>
  </si>
  <si>
    <t>报复者</t>
  </si>
  <si>
    <t>Ishikawa Saizou</t>
  </si>
  <si>
    <t>潜行者</t>
  </si>
  <si>
    <t>Sport Condor</t>
  </si>
  <si>
    <t>竞技兀鹰</t>
  </si>
  <si>
    <t>SE_Teth</t>
  </si>
  <si>
    <t>钢铁泰特</t>
  </si>
  <si>
    <t>Blaze_Rex</t>
  </si>
  <si>
    <t>烈焰雷克斯</t>
  </si>
  <si>
    <t>Prime SWORD Unit 190</t>
  </si>
  <si>
    <t>Sport Screamer</t>
  </si>
  <si>
    <t>竞技咆哮者</t>
  </si>
  <si>
    <t>SE_Pshent</t>
  </si>
  <si>
    <t>钢铁双冠</t>
  </si>
  <si>
    <t>Blaze_Elox</t>
  </si>
  <si>
    <t>烈焰埃洛克斯</t>
  </si>
  <si>
    <t>Prime ARM L-83</t>
  </si>
  <si>
    <t>Sport Howler</t>
  </si>
  <si>
    <t>竞技呼啸者</t>
  </si>
  <si>
    <t>SE_Deshret</t>
  </si>
  <si>
    <t>钢铁红冠</t>
  </si>
  <si>
    <t>Blaze_Murix</t>
  </si>
  <si>
    <t>烈焰穆瑞克斯</t>
  </si>
  <si>
    <t>Prime ARM M-80</t>
  </si>
  <si>
    <t>Sport Wave</t>
  </si>
  <si>
    <t>竞技浪潮</t>
  </si>
  <si>
    <t>SE_Hedjet</t>
  </si>
  <si>
    <t>钢铁白冠</t>
  </si>
  <si>
    <t>Prime WARD DSC 6</t>
  </si>
  <si>
    <t>James Velocci</t>
  </si>
  <si>
    <t>詹姆斯·韦洛奇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</si>
</sst>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EA4335"/>
      <name val="等线"/>
      <family val="2"/>
      <scheme val="minor"/>
    </font>
    <font>
      <sz val="9"/>
      <name val="等线"/>
      <family val="3"/>
      <charset val="134"/>
      <scheme val="minor"/>
    </font>
  </fonts>
  <fills count="141">
    <fill>
      <patternFill patternType="none"/>
    </fill>
    <fill>
      <patternFill patternType="gray125"/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00FF00"/>
      </patternFill>
    </fill>
    <fill>
      <patternFill patternType="solid">
        <fgColor rgb="FF00FF00"/>
      </patternFill>
    </fill>
    <fill>
      <patternFill patternType="solid">
        <fgColor rgb="FF00FF00"/>
      </patternFill>
    </fill>
    <fill>
      <patternFill patternType="solid">
        <fgColor rgb="FF00FF00"/>
      </patternFill>
    </fill>
    <fill>
      <patternFill patternType="solid">
        <fgColor rgb="FF00FF00"/>
      </patternFill>
    </fill>
    <fill>
      <patternFill patternType="solid">
        <fgColor rgb="FF00FF00"/>
      </patternFill>
    </fill>
    <fill>
      <patternFill patternType="solid">
        <fgColor rgb="FF00FF00"/>
      </patternFill>
    </fill>
    <fill>
      <patternFill patternType="solid">
        <fgColor rgb="FF00FF00"/>
      </patternFill>
    </fill>
    <fill>
      <patternFill patternType="solid">
        <fgColor rgb="FF00FF00"/>
      </patternFill>
    </fill>
    <fill>
      <patternFill patternType="solid">
        <fgColor rgb="FF00FF00"/>
      </patternFill>
    </fill>
    <fill>
      <patternFill patternType="solid">
        <fgColor rgb="FF00FF00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D0E0E3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00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F00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D9F5D6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00FFFF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00FFFF"/>
      </patternFill>
    </fill>
    <fill>
      <patternFill patternType="solid">
        <fgColor rgb="FF00FFFF"/>
      </patternFill>
    </fill>
    <fill>
      <patternFill patternType="solid">
        <fgColor rgb="FF00FFFF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00FFFF"/>
      </patternFill>
    </fill>
    <fill>
      <patternFill patternType="solid">
        <fgColor rgb="FF00FFFF"/>
      </patternFill>
    </fill>
    <fill>
      <patternFill patternType="solid">
        <fgColor rgb="FFF3F3F3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00FFFF"/>
      </patternFill>
    </fill>
    <fill>
      <patternFill patternType="solid">
        <fgColor rgb="FF00FFFF"/>
      </patternFill>
    </fill>
    <fill>
      <patternFill patternType="solid">
        <fgColor rgb="FFFFF258"/>
      </patternFill>
    </fill>
    <fill>
      <patternFill patternType="solid">
        <fgColor rgb="FF00FF00"/>
      </patternFill>
    </fill>
    <fill>
      <patternFill patternType="solid">
        <fgColor rgb="FF00FF00"/>
      </patternFill>
    </fill>
    <fill>
      <patternFill patternType="solid">
        <fgColor rgb="FFFFF258"/>
      </patternFill>
    </fill>
    <fill>
      <patternFill patternType="solid">
        <fgColor rgb="FF00FFFF"/>
      </patternFill>
    </fill>
    <fill>
      <patternFill patternType="solid">
        <fgColor rgb="FFFF9900"/>
      </patternFill>
    </fill>
    <fill>
      <patternFill patternType="solid">
        <fgColor rgb="FFFF9900"/>
      </patternFill>
    </fill>
    <fill>
      <patternFill patternType="solid">
        <fgColor rgb="FFD9EAD3"/>
      </patternFill>
    </fill>
    <fill>
      <patternFill patternType="solid">
        <fgColor rgb="FFD9EAD3"/>
      </patternFill>
    </fill>
    <fill>
      <patternFill patternType="solid">
        <fgColor rgb="FFFFFF00"/>
      </patternFill>
    </fill>
    <fill>
      <patternFill patternType="solid">
        <fgColor rgb="FFD9D2E9"/>
      </patternFill>
    </fill>
    <fill>
      <patternFill patternType="solid">
        <fgColor rgb="FFD9D2E9"/>
      </patternFill>
    </fill>
    <fill>
      <patternFill patternType="solid">
        <fgColor rgb="FFD9D2E9"/>
      </patternFill>
    </fill>
    <fill>
      <patternFill patternType="solid">
        <fgColor rgb="FFD9D2E9"/>
      </patternFill>
    </fill>
    <fill>
      <patternFill patternType="solid">
        <fgColor rgb="FFD9D2E9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CC"/>
      </patternFill>
    </fill>
    <fill>
      <patternFill patternType="solid">
        <fgColor rgb="FF00FFFF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00FFFF"/>
      </patternFill>
    </fill>
    <fill>
      <patternFill patternType="solid">
        <fgColor rgb="FFD9F5D6"/>
      </patternFill>
    </fill>
    <fill>
      <patternFill patternType="solid">
        <fgColor rgb="FF00FF00"/>
      </patternFill>
    </fill>
    <fill>
      <patternFill patternType="solid">
        <fgColor rgb="FF00FF00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D9D2E9"/>
      </patternFill>
    </fill>
    <fill>
      <patternFill patternType="solid">
        <fgColor rgb="FFD9D2E9"/>
      </patternFill>
    </fill>
    <fill>
      <patternFill patternType="solid">
        <fgColor rgb="FFD9D2E9"/>
      </patternFill>
    </fill>
    <fill>
      <patternFill patternType="solid">
        <fgColor rgb="FFD9D2E9"/>
      </patternFill>
    </fill>
    <fill>
      <patternFill patternType="solid">
        <fgColor rgb="FFD9D2E9"/>
      </patternFill>
    </fill>
    <fill>
      <patternFill patternType="solid">
        <fgColor rgb="FFD9D2E9"/>
      </patternFill>
    </fill>
    <fill>
      <patternFill patternType="solid">
        <fgColor rgb="FFD9D2E9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D9D2E9"/>
      </patternFill>
    </fill>
    <fill>
      <patternFill patternType="solid">
        <fgColor rgb="FF00FFFF"/>
      </patternFill>
    </fill>
    <fill>
      <patternFill patternType="solid">
        <fgColor rgb="FF00FFFF"/>
      </patternFill>
    </fill>
    <fill>
      <patternFill patternType="solid">
        <fgColor rgb="FFD9EAD3"/>
      </patternFill>
    </fill>
    <fill>
      <patternFill patternType="solid">
        <fgColor rgb="FFF9CB9C"/>
      </patternFill>
    </fill>
    <fill>
      <patternFill patternType="solid">
        <fgColor rgb="FFF9CB9C"/>
      </patternFill>
    </fill>
    <fill>
      <patternFill patternType="solid">
        <fgColor rgb="FFD9EAD3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FFF258"/>
      </patternFill>
    </fill>
    <fill>
      <patternFill patternType="solid">
        <fgColor rgb="FFB4A7D6"/>
      </patternFill>
    </fill>
    <fill>
      <patternFill patternType="solid">
        <fgColor rgb="FFC9DAF8"/>
      </patternFill>
    </fill>
    <fill>
      <patternFill patternType="solid">
        <fgColor rgb="FFB4A7D6"/>
      </patternFill>
    </fill>
    <fill>
      <patternFill patternType="solid">
        <fgColor rgb="FFFFE599"/>
      </patternFill>
    </fill>
    <fill>
      <patternFill patternType="solid">
        <fgColor rgb="FFFFE599"/>
      </patternFill>
    </fill>
    <fill>
      <patternFill patternType="solid">
        <fgColor rgb="FFB6D7A8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D9EAD3"/>
      </patternFill>
    </fill>
    <fill>
      <patternFill patternType="solid">
        <fgColor rgb="FFB5E3E8"/>
      </patternFill>
    </fill>
    <fill>
      <patternFill patternType="solid">
        <fgColor rgb="FFB5E3E8"/>
      </patternFill>
    </fill>
    <fill>
      <patternFill patternType="solid">
        <fgColor rgb="FFD9EAD3"/>
      </patternFill>
    </fill>
  </fills>
  <borders count="206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21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10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/>
    </xf>
    <xf numFmtId="9" fontId="2" fillId="5" borderId="8" xfId="0" applyNumberFormat="1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 wrapText="1"/>
    </xf>
    <xf numFmtId="10" fontId="2" fillId="0" borderId="14" xfId="0" applyNumberFormat="1" applyFont="1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10" fontId="2" fillId="0" borderId="16" xfId="0" applyNumberFormat="1" applyFont="1" applyBorder="1" applyAlignment="1">
      <alignment horizontal="center" vertical="center"/>
    </xf>
    <xf numFmtId="0" fontId="3" fillId="9" borderId="17" xfId="0" applyFont="1" applyFill="1" applyBorder="1" applyAlignment="1">
      <alignment horizontal="center"/>
    </xf>
    <xf numFmtId="0" fontId="3" fillId="10" borderId="18" xfId="0" applyFont="1" applyFill="1" applyBorder="1" applyAlignment="1">
      <alignment horizontal="center" wrapText="1"/>
    </xf>
    <xf numFmtId="0" fontId="3" fillId="11" borderId="19" xfId="0" applyFont="1" applyFill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10" fontId="2" fillId="0" borderId="21" xfId="0" applyNumberFormat="1" applyFont="1" applyBorder="1" applyAlignment="1">
      <alignment horizontal="center"/>
    </xf>
    <xf numFmtId="10" fontId="4" fillId="0" borderId="22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center" wrapText="1"/>
    </xf>
    <xf numFmtId="0" fontId="3" fillId="12" borderId="24" xfId="0" applyFont="1" applyFill="1" applyBorder="1" applyAlignment="1">
      <alignment horizontal="center" wrapText="1"/>
    </xf>
    <xf numFmtId="10" fontId="3" fillId="13" borderId="25" xfId="0" applyNumberFormat="1" applyFont="1" applyFill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14" borderId="27" xfId="0" applyFont="1" applyFill="1" applyBorder="1" applyAlignment="1">
      <alignment horizontal="center" wrapText="1"/>
    </xf>
    <xf numFmtId="0" fontId="3" fillId="15" borderId="28" xfId="0" applyFont="1" applyFill="1" applyBorder="1" applyAlignment="1">
      <alignment horizontal="center" vertical="top" wrapText="1"/>
    </xf>
    <xf numFmtId="0" fontId="3" fillId="16" borderId="29" xfId="0" applyFont="1" applyFill="1" applyBorder="1" applyAlignment="1">
      <alignment horizontal="center" vertical="top" wrapText="1"/>
    </xf>
    <xf numFmtId="10" fontId="2" fillId="0" borderId="30" xfId="0" applyNumberFormat="1" applyFont="1" applyBorder="1" applyAlignment="1">
      <alignment horizontal="center" wrapText="1"/>
    </xf>
    <xf numFmtId="0" fontId="3" fillId="0" borderId="31" xfId="0" applyFont="1" applyBorder="1" applyAlignment="1">
      <alignment horizontal="center" vertical="top" wrapText="1"/>
    </xf>
    <xf numFmtId="10" fontId="3" fillId="0" borderId="32" xfId="0" applyNumberFormat="1" applyFont="1" applyBorder="1" applyAlignment="1">
      <alignment horizontal="center" vertical="top" wrapText="1"/>
    </xf>
    <xf numFmtId="0" fontId="3" fillId="0" borderId="33" xfId="0" applyFont="1" applyBorder="1" applyAlignment="1">
      <alignment horizontal="center" vertical="top" wrapText="1"/>
    </xf>
    <xf numFmtId="0" fontId="2" fillId="17" borderId="34" xfId="0" applyFont="1" applyFill="1" applyBorder="1" applyAlignment="1">
      <alignment horizontal="center" wrapText="1"/>
    </xf>
    <xf numFmtId="0" fontId="2" fillId="19" borderId="36" xfId="0" applyFont="1" applyFill="1" applyBorder="1" applyAlignment="1">
      <alignment horizontal="center" wrapText="1"/>
    </xf>
    <xf numFmtId="0" fontId="4" fillId="0" borderId="39" xfId="0" applyFont="1" applyBorder="1" applyAlignment="1">
      <alignment horizontal="center" vertical="center"/>
    </xf>
    <xf numFmtId="58" fontId="2" fillId="22" borderId="40" xfId="0" applyNumberFormat="1" applyFont="1" applyFill="1" applyBorder="1" applyAlignment="1">
      <alignment horizontal="center" wrapText="1"/>
    </xf>
    <xf numFmtId="0" fontId="2" fillId="24" borderId="42" xfId="0" applyFont="1" applyFill="1" applyBorder="1" applyAlignment="1">
      <alignment horizontal="center" wrapText="1"/>
    </xf>
    <xf numFmtId="58" fontId="2" fillId="25" borderId="43" xfId="0" applyNumberFormat="1" applyFont="1" applyFill="1" applyBorder="1" applyAlignment="1">
      <alignment horizontal="center" wrapText="1"/>
    </xf>
    <xf numFmtId="0" fontId="4" fillId="0" borderId="44" xfId="0" applyFont="1" applyBorder="1" applyAlignment="1">
      <alignment horizontal="center" vertical="center"/>
    </xf>
    <xf numFmtId="58" fontId="2" fillId="26" borderId="45" xfId="0" applyNumberFormat="1" applyFont="1" applyFill="1" applyBorder="1" applyAlignment="1">
      <alignment horizontal="center" wrapText="1"/>
    </xf>
    <xf numFmtId="0" fontId="2" fillId="27" borderId="47" xfId="0" applyFont="1" applyFill="1" applyBorder="1" applyAlignment="1">
      <alignment horizontal="center" wrapText="1"/>
    </xf>
    <xf numFmtId="0" fontId="3" fillId="28" borderId="48" xfId="0" applyFont="1" applyFill="1" applyBorder="1" applyAlignment="1">
      <alignment horizontal="center"/>
    </xf>
    <xf numFmtId="0" fontId="3" fillId="29" borderId="49" xfId="0" applyFont="1" applyFill="1" applyBorder="1" applyAlignment="1">
      <alignment horizontal="center"/>
    </xf>
    <xf numFmtId="10" fontId="2" fillId="30" borderId="50" xfId="0" applyNumberFormat="1" applyFont="1" applyFill="1" applyBorder="1" applyAlignment="1">
      <alignment horizontal="center"/>
    </xf>
    <xf numFmtId="10" fontId="3" fillId="0" borderId="51" xfId="0" applyNumberFormat="1" applyFont="1" applyBorder="1" applyAlignment="1">
      <alignment horizontal="center" wrapText="1"/>
    </xf>
    <xf numFmtId="0" fontId="3" fillId="31" borderId="52" xfId="0" applyFont="1" applyFill="1" applyBorder="1" applyAlignment="1">
      <alignment horizontal="center" wrapText="1"/>
    </xf>
    <xf numFmtId="0" fontId="3" fillId="32" borderId="53" xfId="0" applyFont="1" applyFill="1" applyBorder="1" applyAlignment="1">
      <alignment horizontal="center"/>
    </xf>
    <xf numFmtId="0" fontId="3" fillId="33" borderId="54" xfId="0" applyFont="1" applyFill="1" applyBorder="1" applyAlignment="1">
      <alignment horizontal="center"/>
    </xf>
    <xf numFmtId="0" fontId="3" fillId="0" borderId="55" xfId="0" applyFont="1" applyBorder="1" applyAlignment="1">
      <alignment horizontal="center" vertical="center"/>
    </xf>
    <xf numFmtId="0" fontId="3" fillId="34" borderId="56" xfId="0" applyFont="1" applyFill="1" applyBorder="1" applyAlignment="1">
      <alignment horizontal="center"/>
    </xf>
    <xf numFmtId="0" fontId="3" fillId="35" borderId="57" xfId="0" applyFont="1" applyFill="1" applyBorder="1" applyAlignment="1">
      <alignment horizontal="center"/>
    </xf>
    <xf numFmtId="0" fontId="3" fillId="0" borderId="58" xfId="0" applyFont="1" applyBorder="1" applyAlignment="1">
      <alignment horizontal="center" wrapText="1"/>
    </xf>
    <xf numFmtId="0" fontId="3" fillId="0" borderId="59" xfId="0" applyFont="1" applyBorder="1" applyAlignment="1">
      <alignment horizontal="center" wrapText="1"/>
    </xf>
    <xf numFmtId="10" fontId="3" fillId="0" borderId="60" xfId="0" applyNumberFormat="1" applyFont="1" applyBorder="1" applyAlignment="1">
      <alignment horizontal="center"/>
    </xf>
    <xf numFmtId="10" fontId="2" fillId="36" borderId="61" xfId="0" applyNumberFormat="1" applyFont="1" applyFill="1" applyBorder="1" applyAlignment="1">
      <alignment horizontal="center"/>
    </xf>
    <xf numFmtId="0" fontId="2" fillId="37" borderId="62" xfId="0" applyFont="1" applyFill="1" applyBorder="1" applyAlignment="1">
      <alignment horizontal="center"/>
    </xf>
    <xf numFmtId="0" fontId="2" fillId="38" borderId="63" xfId="0" applyFont="1" applyFill="1" applyBorder="1" applyAlignment="1">
      <alignment horizontal="center"/>
    </xf>
    <xf numFmtId="0" fontId="3" fillId="39" borderId="64" xfId="0" applyFont="1" applyFill="1" applyBorder="1" applyAlignment="1">
      <alignment horizontal="center"/>
    </xf>
    <xf numFmtId="10" fontId="2" fillId="40" borderId="65" xfId="0" applyNumberFormat="1" applyFont="1" applyFill="1" applyBorder="1" applyAlignment="1">
      <alignment horizontal="center"/>
    </xf>
    <xf numFmtId="0" fontId="4" fillId="41" borderId="66" xfId="0" applyFont="1" applyFill="1" applyBorder="1" applyAlignment="1">
      <alignment horizontal="center" vertical="center"/>
    </xf>
    <xf numFmtId="10" fontId="4" fillId="42" borderId="67" xfId="0" applyNumberFormat="1" applyFont="1" applyFill="1" applyBorder="1" applyAlignment="1">
      <alignment horizontal="center" vertical="center"/>
    </xf>
    <xf numFmtId="0" fontId="4" fillId="43" borderId="68" xfId="0" applyFont="1" applyFill="1" applyBorder="1" applyAlignment="1">
      <alignment horizontal="center" vertical="center"/>
    </xf>
    <xf numFmtId="9" fontId="2" fillId="44" borderId="69" xfId="0" applyNumberFormat="1" applyFont="1" applyFill="1" applyBorder="1" applyAlignment="1">
      <alignment horizontal="center"/>
    </xf>
    <xf numFmtId="0" fontId="4" fillId="45" borderId="70" xfId="0" applyFont="1" applyFill="1" applyBorder="1" applyAlignment="1">
      <alignment horizontal="center" vertical="center"/>
    </xf>
    <xf numFmtId="0" fontId="2" fillId="46" borderId="71" xfId="0" applyFont="1" applyFill="1" applyBorder="1" applyAlignment="1">
      <alignment horizontal="center"/>
    </xf>
    <xf numFmtId="10" fontId="4" fillId="47" borderId="72" xfId="0" applyNumberFormat="1" applyFont="1" applyFill="1" applyBorder="1" applyAlignment="1">
      <alignment horizontal="center" vertical="center"/>
    </xf>
    <xf numFmtId="0" fontId="4" fillId="48" borderId="73" xfId="0" applyFont="1" applyFill="1" applyBorder="1" applyAlignment="1">
      <alignment horizontal="center" vertical="center"/>
    </xf>
    <xf numFmtId="0" fontId="4" fillId="49" borderId="74" xfId="0" applyFont="1" applyFill="1" applyBorder="1" applyAlignment="1">
      <alignment horizontal="center" vertical="center"/>
    </xf>
    <xf numFmtId="0" fontId="3" fillId="50" borderId="75" xfId="0" applyFont="1" applyFill="1" applyBorder="1" applyAlignment="1">
      <alignment horizontal="center" vertical="center"/>
    </xf>
    <xf numFmtId="0" fontId="3" fillId="51" borderId="76" xfId="0" applyFont="1" applyFill="1" applyBorder="1" applyAlignment="1">
      <alignment horizontal="center"/>
    </xf>
    <xf numFmtId="0" fontId="2" fillId="52" borderId="77" xfId="0" applyFont="1" applyFill="1" applyBorder="1" applyAlignment="1">
      <alignment horizontal="center"/>
    </xf>
    <xf numFmtId="10" fontId="2" fillId="0" borderId="78" xfId="0" applyNumberFormat="1" applyFont="1" applyBorder="1" applyAlignment="1">
      <alignment horizontal="center" vertical="center"/>
    </xf>
    <xf numFmtId="9" fontId="2" fillId="53" borderId="79" xfId="0" applyNumberFormat="1" applyFont="1" applyFill="1" applyBorder="1" applyAlignment="1">
      <alignment horizontal="center" vertical="center"/>
    </xf>
    <xf numFmtId="0" fontId="3" fillId="54" borderId="80" xfId="0" applyFont="1" applyFill="1" applyBorder="1" applyAlignment="1">
      <alignment horizontal="center"/>
    </xf>
    <xf numFmtId="10" fontId="3" fillId="55" borderId="81" xfId="0" applyNumberFormat="1" applyFont="1" applyFill="1" applyBorder="1" applyAlignment="1">
      <alignment horizontal="center"/>
    </xf>
    <xf numFmtId="10" fontId="2" fillId="0" borderId="82" xfId="0" applyNumberFormat="1" applyFont="1" applyBorder="1" applyAlignment="1">
      <alignment horizontal="center"/>
    </xf>
    <xf numFmtId="0" fontId="3" fillId="56" borderId="83" xfId="0" applyFont="1" applyFill="1" applyBorder="1" applyAlignment="1">
      <alignment horizontal="center"/>
    </xf>
    <xf numFmtId="0" fontId="3" fillId="57" borderId="84" xfId="0" applyFont="1" applyFill="1" applyBorder="1" applyAlignment="1">
      <alignment horizontal="center" wrapText="1"/>
    </xf>
    <xf numFmtId="0" fontId="3" fillId="58" borderId="85" xfId="0" applyFont="1" applyFill="1" applyBorder="1" applyAlignment="1">
      <alignment horizontal="center" wrapText="1"/>
    </xf>
    <xf numFmtId="0" fontId="3" fillId="59" borderId="86" xfId="0" applyFont="1" applyFill="1" applyBorder="1" applyAlignment="1">
      <alignment horizontal="center"/>
    </xf>
    <xf numFmtId="0" fontId="3" fillId="60" borderId="87" xfId="0" applyFont="1" applyFill="1" applyBorder="1" applyAlignment="1">
      <alignment horizontal="center"/>
    </xf>
    <xf numFmtId="0" fontId="3" fillId="61" borderId="88" xfId="0" applyFont="1" applyFill="1" applyBorder="1" applyAlignment="1">
      <alignment horizontal="center"/>
    </xf>
    <xf numFmtId="10" fontId="3" fillId="62" borderId="89" xfId="0" applyNumberFormat="1" applyFont="1" applyFill="1" applyBorder="1" applyAlignment="1">
      <alignment horizontal="center"/>
    </xf>
    <xf numFmtId="10" fontId="1" fillId="63" borderId="90" xfId="0" applyNumberFormat="1" applyFont="1" applyFill="1" applyBorder="1" applyAlignment="1">
      <alignment horizontal="center" vertical="center"/>
    </xf>
    <xf numFmtId="10" fontId="2" fillId="0" borderId="91" xfId="0" applyNumberFormat="1" applyFont="1" applyBorder="1" applyAlignment="1">
      <alignment horizontal="center" vertical="center"/>
    </xf>
    <xf numFmtId="0" fontId="3" fillId="0" borderId="92" xfId="0" applyFont="1" applyBorder="1" applyAlignment="1">
      <alignment horizontal="center"/>
    </xf>
    <xf numFmtId="0" fontId="3" fillId="0" borderId="93" xfId="0" applyFont="1" applyBorder="1" applyAlignment="1">
      <alignment horizontal="center"/>
    </xf>
    <xf numFmtId="10" fontId="2" fillId="0" borderId="94" xfId="0" applyNumberFormat="1" applyFont="1" applyBorder="1" applyAlignment="1">
      <alignment horizontal="center" vertical="center"/>
    </xf>
    <xf numFmtId="0" fontId="3" fillId="0" borderId="95" xfId="0" applyFont="1" applyBorder="1" applyAlignment="1">
      <alignment horizontal="center"/>
    </xf>
    <xf numFmtId="10" fontId="3" fillId="64" borderId="96" xfId="0" applyNumberFormat="1" applyFont="1" applyFill="1" applyBorder="1" applyAlignment="1">
      <alignment horizontal="center" vertical="center"/>
    </xf>
    <xf numFmtId="10" fontId="4" fillId="0" borderId="97" xfId="0" applyNumberFormat="1" applyFont="1" applyBorder="1" applyAlignment="1">
      <alignment horizontal="center" vertical="center"/>
    </xf>
    <xf numFmtId="0" fontId="3" fillId="65" borderId="98" xfId="0" applyFont="1" applyFill="1" applyBorder="1" applyAlignment="1">
      <alignment horizontal="center"/>
    </xf>
    <xf numFmtId="0" fontId="3" fillId="66" borderId="99" xfId="0" applyFont="1" applyFill="1" applyBorder="1" applyAlignment="1">
      <alignment horizontal="center"/>
    </xf>
    <xf numFmtId="0" fontId="3" fillId="67" borderId="100" xfId="0" applyFont="1" applyFill="1" applyBorder="1" applyAlignment="1">
      <alignment horizontal="center"/>
    </xf>
    <xf numFmtId="0" fontId="3" fillId="68" borderId="101" xfId="0" applyFont="1" applyFill="1" applyBorder="1" applyAlignment="1">
      <alignment horizontal="center" wrapText="1"/>
    </xf>
    <xf numFmtId="0" fontId="3" fillId="69" borderId="102" xfId="0" applyFont="1" applyFill="1" applyBorder="1" applyAlignment="1">
      <alignment horizontal="center" wrapText="1"/>
    </xf>
    <xf numFmtId="0" fontId="3" fillId="70" borderId="103" xfId="0" applyFont="1" applyFill="1" applyBorder="1" applyAlignment="1">
      <alignment horizontal="center" wrapText="1"/>
    </xf>
    <xf numFmtId="0" fontId="2" fillId="71" borderId="104" xfId="0" applyFont="1" applyFill="1" applyBorder="1" applyAlignment="1">
      <alignment horizontal="center" vertical="center" wrapText="1"/>
    </xf>
    <xf numFmtId="58" fontId="2" fillId="73" borderId="106" xfId="0" applyNumberFormat="1" applyFont="1" applyFill="1" applyBorder="1" applyAlignment="1">
      <alignment horizontal="center" vertical="center" wrapText="1"/>
    </xf>
    <xf numFmtId="0" fontId="2" fillId="75" borderId="108" xfId="0" applyFont="1" applyFill="1" applyBorder="1" applyAlignment="1">
      <alignment horizontal="center" vertical="center" wrapText="1"/>
    </xf>
    <xf numFmtId="0" fontId="2" fillId="76" borderId="109" xfId="0" applyFont="1" applyFill="1" applyBorder="1" applyAlignment="1">
      <alignment horizontal="center" vertical="center" wrapText="1"/>
    </xf>
    <xf numFmtId="10" fontId="4" fillId="0" borderId="110" xfId="0" applyNumberFormat="1" applyFont="1" applyBorder="1" applyAlignment="1">
      <alignment horizontal="center" vertical="center"/>
    </xf>
    <xf numFmtId="0" fontId="2" fillId="77" borderId="111" xfId="0" applyFont="1" applyFill="1" applyBorder="1" applyAlignment="1">
      <alignment horizontal="center" vertical="center"/>
    </xf>
    <xf numFmtId="0" fontId="2" fillId="78" borderId="112" xfId="0" applyFont="1" applyFill="1" applyBorder="1" applyAlignment="1">
      <alignment horizontal="center" vertical="center"/>
    </xf>
    <xf numFmtId="0" fontId="3" fillId="79" borderId="113" xfId="0" applyFont="1" applyFill="1" applyBorder="1" applyAlignment="1">
      <alignment horizontal="center" vertical="top" wrapText="1"/>
    </xf>
    <xf numFmtId="0" fontId="3" fillId="80" borderId="114" xfId="0" applyFont="1" applyFill="1" applyBorder="1" applyAlignment="1">
      <alignment horizontal="center" vertical="top" wrapText="1"/>
    </xf>
    <xf numFmtId="0" fontId="3" fillId="0" borderId="115" xfId="0" applyFont="1" applyBorder="1" applyAlignment="1">
      <alignment horizontal="center" vertical="top" wrapText="1"/>
    </xf>
    <xf numFmtId="0" fontId="3" fillId="0" borderId="116" xfId="0" applyFont="1" applyBorder="1" applyAlignment="1">
      <alignment horizontal="center" vertical="top" wrapText="1"/>
    </xf>
    <xf numFmtId="0" fontId="2" fillId="81" borderId="117" xfId="0" applyFont="1" applyFill="1" applyBorder="1" applyAlignment="1">
      <alignment horizontal="center" vertical="center"/>
    </xf>
    <xf numFmtId="0" fontId="3" fillId="82" borderId="118" xfId="0" applyFont="1" applyFill="1" applyBorder="1" applyAlignment="1">
      <alignment horizontal="center" vertical="top" wrapText="1"/>
    </xf>
    <xf numFmtId="0" fontId="3" fillId="83" borderId="119" xfId="0" applyFont="1" applyFill="1" applyBorder="1" applyAlignment="1">
      <alignment horizontal="center" vertical="top" wrapText="1"/>
    </xf>
    <xf numFmtId="10" fontId="3" fillId="84" borderId="120" xfId="0" applyNumberFormat="1" applyFont="1" applyFill="1" applyBorder="1" applyAlignment="1">
      <alignment horizontal="center"/>
    </xf>
    <xf numFmtId="10" fontId="3" fillId="85" borderId="121" xfId="0" applyNumberFormat="1" applyFont="1" applyFill="1" applyBorder="1" applyAlignment="1">
      <alignment horizontal="center"/>
    </xf>
    <xf numFmtId="0" fontId="3" fillId="86" borderId="122" xfId="0" applyFont="1" applyFill="1" applyBorder="1" applyAlignment="1">
      <alignment horizontal="center"/>
    </xf>
    <xf numFmtId="0" fontId="3" fillId="87" borderId="123" xfId="0" applyFont="1" applyFill="1" applyBorder="1" applyAlignment="1">
      <alignment horizontal="center" wrapText="1"/>
    </xf>
    <xf numFmtId="0" fontId="3" fillId="88" borderId="124" xfId="0" applyFont="1" applyFill="1" applyBorder="1" applyAlignment="1">
      <alignment horizontal="center"/>
    </xf>
    <xf numFmtId="0" fontId="3" fillId="89" borderId="125" xfId="0" applyFont="1" applyFill="1" applyBorder="1" applyAlignment="1">
      <alignment horizontal="center"/>
    </xf>
    <xf numFmtId="0" fontId="3" fillId="90" borderId="126" xfId="0" applyFont="1" applyFill="1" applyBorder="1" applyAlignment="1">
      <alignment horizontal="center"/>
    </xf>
    <xf numFmtId="58" fontId="2" fillId="91" borderId="127" xfId="0" applyNumberFormat="1" applyFont="1" applyFill="1" applyBorder="1" applyAlignment="1">
      <alignment horizontal="center" wrapText="1"/>
    </xf>
    <xf numFmtId="0" fontId="2" fillId="92" borderId="128" xfId="0" applyFont="1" applyFill="1" applyBorder="1" applyAlignment="1">
      <alignment horizontal="center" wrapText="1"/>
    </xf>
    <xf numFmtId="0" fontId="2" fillId="94" borderId="130" xfId="0" applyFont="1" applyFill="1" applyBorder="1" applyAlignment="1">
      <alignment horizontal="center" wrapText="1"/>
    </xf>
    <xf numFmtId="0" fontId="4" fillId="0" borderId="132" xfId="0" applyFont="1" applyBorder="1" applyAlignment="1">
      <alignment horizontal="center" vertical="center"/>
    </xf>
    <xf numFmtId="10" fontId="3" fillId="96" borderId="133" xfId="0" applyNumberFormat="1" applyFont="1" applyFill="1" applyBorder="1" applyAlignment="1">
      <alignment horizontal="center"/>
    </xf>
    <xf numFmtId="0" fontId="3" fillId="97" borderId="134" xfId="0" applyFont="1" applyFill="1" applyBorder="1" applyAlignment="1">
      <alignment horizontal="center" vertical="center"/>
    </xf>
    <xf numFmtId="0" fontId="2" fillId="98" borderId="135" xfId="0" applyFont="1" applyFill="1" applyBorder="1" applyAlignment="1">
      <alignment horizontal="center" vertical="center"/>
    </xf>
    <xf numFmtId="10" fontId="1" fillId="0" borderId="136" xfId="0" applyNumberFormat="1" applyFont="1" applyBorder="1" applyAlignment="1">
      <alignment horizontal="center" vertical="center"/>
    </xf>
    <xf numFmtId="10" fontId="3" fillId="0" borderId="137" xfId="0" applyNumberFormat="1" applyFont="1" applyBorder="1" applyAlignment="1">
      <alignment horizontal="center"/>
    </xf>
    <xf numFmtId="10" fontId="3" fillId="0" borderId="138" xfId="0" applyNumberFormat="1" applyFont="1" applyBorder="1" applyAlignment="1">
      <alignment horizontal="center" vertical="center"/>
    </xf>
    <xf numFmtId="0" fontId="4" fillId="0" borderId="139" xfId="0" applyFont="1" applyBorder="1" applyAlignment="1">
      <alignment horizontal="center" vertical="center"/>
    </xf>
    <xf numFmtId="0" fontId="3" fillId="100" borderId="141" xfId="0" applyFont="1" applyFill="1" applyBorder="1" applyAlignment="1">
      <alignment horizontal="center" wrapText="1"/>
    </xf>
    <xf numFmtId="10" fontId="2" fillId="0" borderId="142" xfId="0" applyNumberFormat="1" applyFont="1" applyBorder="1" applyAlignment="1">
      <alignment horizontal="center"/>
    </xf>
    <xf numFmtId="10" fontId="3" fillId="101" borderId="143" xfId="0" applyNumberFormat="1" applyFont="1" applyFill="1" applyBorder="1" applyAlignment="1">
      <alignment horizontal="center" wrapText="1"/>
    </xf>
    <xf numFmtId="10" fontId="3" fillId="102" borderId="144" xfId="0" applyNumberFormat="1" applyFont="1" applyFill="1" applyBorder="1" applyAlignment="1">
      <alignment horizontal="center" wrapText="1"/>
    </xf>
    <xf numFmtId="0" fontId="3" fillId="103" borderId="145" xfId="0" applyFont="1" applyFill="1" applyBorder="1" applyAlignment="1">
      <alignment horizontal="center" wrapText="1"/>
    </xf>
    <xf numFmtId="0" fontId="3" fillId="104" borderId="146" xfId="0" applyFont="1" applyFill="1" applyBorder="1" applyAlignment="1">
      <alignment horizontal="center" wrapText="1"/>
    </xf>
    <xf numFmtId="0" fontId="1" fillId="0" borderId="147" xfId="0" applyFont="1" applyBorder="1" applyAlignment="1">
      <alignment horizontal="center" vertical="center"/>
    </xf>
    <xf numFmtId="0" fontId="3" fillId="105" borderId="148" xfId="0" applyFont="1" applyFill="1" applyBorder="1" applyAlignment="1">
      <alignment horizontal="center" vertical="center"/>
    </xf>
    <xf numFmtId="10" fontId="1" fillId="0" borderId="149" xfId="0" applyNumberFormat="1" applyFont="1" applyBorder="1" applyAlignment="1">
      <alignment horizontal="center" vertical="center"/>
    </xf>
    <xf numFmtId="0" fontId="3" fillId="106" borderId="150" xfId="0" applyFont="1" applyFill="1" applyBorder="1" applyAlignment="1">
      <alignment horizontal="center" vertical="center"/>
    </xf>
    <xf numFmtId="10" fontId="3" fillId="0" borderId="151" xfId="0" applyNumberFormat="1" applyFont="1" applyBorder="1" applyAlignment="1">
      <alignment horizontal="center" vertical="center"/>
    </xf>
    <xf numFmtId="0" fontId="3" fillId="107" borderId="152" xfId="0" applyFont="1" applyFill="1" applyBorder="1" applyAlignment="1">
      <alignment horizontal="center" wrapText="1"/>
    </xf>
    <xf numFmtId="0" fontId="3" fillId="0" borderId="153" xfId="0" applyFont="1" applyBorder="1" applyAlignment="1">
      <alignment horizontal="center" vertical="center"/>
    </xf>
    <xf numFmtId="0" fontId="3" fillId="108" borderId="154" xfId="0" applyFont="1" applyFill="1" applyBorder="1" applyAlignment="1">
      <alignment horizontal="center" wrapText="1"/>
    </xf>
    <xf numFmtId="58" fontId="2" fillId="109" borderId="155" xfId="0" applyNumberFormat="1" applyFont="1" applyFill="1" applyBorder="1" applyAlignment="1">
      <alignment horizontal="center" vertical="center" wrapText="1"/>
    </xf>
    <xf numFmtId="0" fontId="2" fillId="110" borderId="156" xfId="0" applyFont="1" applyFill="1" applyBorder="1" applyAlignment="1">
      <alignment horizontal="center" vertical="center" wrapText="1"/>
    </xf>
    <xf numFmtId="58" fontId="2" fillId="111" borderId="158" xfId="0" applyNumberFormat="1" applyFont="1" applyFill="1" applyBorder="1" applyAlignment="1">
      <alignment horizontal="center" wrapText="1"/>
    </xf>
    <xf numFmtId="0" fontId="2" fillId="112" borderId="159" xfId="0" applyFont="1" applyFill="1" applyBorder="1" applyAlignment="1">
      <alignment horizontal="center" vertical="center" wrapText="1"/>
    </xf>
    <xf numFmtId="0" fontId="2" fillId="114" borderId="161" xfId="0" applyFont="1" applyFill="1" applyBorder="1" applyAlignment="1">
      <alignment horizontal="center" vertical="center" wrapText="1"/>
    </xf>
    <xf numFmtId="0" fontId="4" fillId="0" borderId="163" xfId="0" applyFont="1" applyBorder="1" applyAlignment="1">
      <alignment horizontal="center" vertical="center"/>
    </xf>
    <xf numFmtId="9" fontId="2" fillId="116" borderId="164" xfId="0" applyNumberFormat="1" applyFont="1" applyFill="1" applyBorder="1" applyAlignment="1">
      <alignment horizontal="center" vertical="center"/>
    </xf>
    <xf numFmtId="10" fontId="3" fillId="117" borderId="165" xfId="0" applyNumberFormat="1" applyFont="1" applyFill="1" applyBorder="1" applyAlignment="1">
      <alignment horizontal="center" vertical="center"/>
    </xf>
    <xf numFmtId="0" fontId="2" fillId="118" borderId="166" xfId="0" applyFont="1" applyFill="1" applyBorder="1" applyAlignment="1">
      <alignment horizontal="center" vertical="center"/>
    </xf>
    <xf numFmtId="0" fontId="1" fillId="0" borderId="167" xfId="0" applyFont="1" applyBorder="1" applyAlignment="1">
      <alignment vertical="center"/>
    </xf>
    <xf numFmtId="58" fontId="2" fillId="119" borderId="168" xfId="0" applyNumberFormat="1" applyFont="1" applyFill="1" applyBorder="1" applyAlignment="1">
      <alignment horizontal="center" vertical="center" wrapText="1"/>
    </xf>
    <xf numFmtId="10" fontId="3" fillId="0" borderId="169" xfId="0" applyNumberFormat="1" applyFont="1" applyBorder="1" applyAlignment="1">
      <alignment horizontal="center" vertical="center" wrapText="1"/>
    </xf>
    <xf numFmtId="0" fontId="3" fillId="120" borderId="170" xfId="0" applyFont="1" applyFill="1" applyBorder="1" applyAlignment="1">
      <alignment horizontal="center" vertical="center" wrapText="1"/>
    </xf>
    <xf numFmtId="0" fontId="3" fillId="121" borderId="171" xfId="0" applyFont="1" applyFill="1" applyBorder="1" applyAlignment="1">
      <alignment horizontal="center" vertical="center" wrapText="1"/>
    </xf>
    <xf numFmtId="10" fontId="3" fillId="122" borderId="172" xfId="0" applyNumberFormat="1" applyFont="1" applyFill="1" applyBorder="1" applyAlignment="1">
      <alignment horizontal="center"/>
    </xf>
    <xf numFmtId="0" fontId="3" fillId="123" borderId="173" xfId="0" applyFont="1" applyFill="1" applyBorder="1" applyAlignment="1">
      <alignment horizontal="center"/>
    </xf>
    <xf numFmtId="0" fontId="3" fillId="124" borderId="174" xfId="0" applyFont="1" applyFill="1" applyBorder="1" applyAlignment="1">
      <alignment horizontal="center"/>
    </xf>
    <xf numFmtId="0" fontId="3" fillId="125" borderId="175" xfId="0" applyFont="1" applyFill="1" applyBorder="1" applyAlignment="1">
      <alignment horizontal="center"/>
    </xf>
    <xf numFmtId="9" fontId="1" fillId="0" borderId="176" xfId="0" applyNumberFormat="1" applyFont="1" applyBorder="1" applyAlignment="1">
      <alignment vertical="center"/>
    </xf>
    <xf numFmtId="0" fontId="3" fillId="126" borderId="177" xfId="0" applyFont="1" applyFill="1" applyBorder="1" applyAlignment="1">
      <alignment horizontal="center"/>
    </xf>
    <xf numFmtId="10" fontId="5" fillId="0" borderId="179" xfId="0" applyNumberFormat="1" applyFont="1" applyBorder="1" applyAlignment="1">
      <alignment horizontal="center"/>
    </xf>
    <xf numFmtId="0" fontId="3" fillId="127" borderId="180" xfId="0" applyFont="1" applyFill="1" applyBorder="1" applyAlignment="1">
      <alignment horizontal="center" wrapText="1"/>
    </xf>
    <xf numFmtId="0" fontId="1" fillId="0" borderId="181" xfId="0" applyFont="1" applyBorder="1" applyAlignment="1">
      <alignment horizontal="center" vertical="center"/>
    </xf>
    <xf numFmtId="0" fontId="3" fillId="0" borderId="182" xfId="0" applyFont="1" applyBorder="1" applyAlignment="1">
      <alignment horizontal="center"/>
    </xf>
    <xf numFmtId="0" fontId="3" fillId="128" borderId="183" xfId="0" applyFont="1" applyFill="1" applyBorder="1" applyAlignment="1">
      <alignment horizontal="center"/>
    </xf>
    <xf numFmtId="0" fontId="2" fillId="129" borderId="184" xfId="0" applyFont="1" applyFill="1" applyBorder="1" applyAlignment="1">
      <alignment horizontal="center"/>
    </xf>
    <xf numFmtId="0" fontId="2" fillId="130" borderId="185" xfId="0" applyFont="1" applyFill="1" applyBorder="1" applyAlignment="1">
      <alignment horizontal="center"/>
    </xf>
    <xf numFmtId="0" fontId="2" fillId="131" borderId="186" xfId="0" applyFont="1" applyFill="1" applyBorder="1" applyAlignment="1">
      <alignment horizontal="center"/>
    </xf>
    <xf numFmtId="0" fontId="2" fillId="132" borderId="187" xfId="0" applyFont="1" applyFill="1" applyBorder="1" applyAlignment="1">
      <alignment horizontal="center"/>
    </xf>
    <xf numFmtId="0" fontId="2" fillId="133" borderId="188" xfId="0" applyFont="1" applyFill="1" applyBorder="1" applyAlignment="1">
      <alignment horizontal="center"/>
    </xf>
    <xf numFmtId="0" fontId="2" fillId="134" borderId="189" xfId="0" applyFont="1" applyFill="1" applyBorder="1" applyAlignment="1">
      <alignment horizontal="center"/>
    </xf>
    <xf numFmtId="0" fontId="2" fillId="135" borderId="190" xfId="0" applyFont="1" applyFill="1" applyBorder="1" applyAlignment="1">
      <alignment horizontal="center"/>
    </xf>
    <xf numFmtId="9" fontId="3" fillId="0" borderId="191" xfId="0" applyNumberFormat="1" applyFont="1" applyBorder="1" applyAlignment="1">
      <alignment horizontal="center"/>
    </xf>
    <xf numFmtId="0" fontId="2" fillId="136" borderId="192" xfId="0" applyFont="1" applyFill="1" applyBorder="1" applyAlignment="1">
      <alignment horizontal="center"/>
    </xf>
    <xf numFmtId="0" fontId="4" fillId="0" borderId="193" xfId="0" applyFont="1" applyBorder="1" applyAlignment="1">
      <alignment vertical="center"/>
    </xf>
    <xf numFmtId="0" fontId="2" fillId="0" borderId="194" xfId="0" applyFont="1" applyBorder="1" applyAlignment="1">
      <alignment horizontal="center"/>
    </xf>
    <xf numFmtId="10" fontId="3" fillId="0" borderId="195" xfId="0" applyNumberFormat="1" applyFont="1" applyBorder="1" applyAlignment="1">
      <alignment horizontal="center"/>
    </xf>
    <xf numFmtId="10" fontId="3" fillId="0" borderId="196" xfId="0" applyNumberFormat="1" applyFont="1" applyBorder="1" applyAlignment="1">
      <alignment horizontal="center" wrapText="1"/>
    </xf>
    <xf numFmtId="0" fontId="3" fillId="0" borderId="197" xfId="0" applyFont="1" applyBorder="1" applyAlignment="1">
      <alignment horizontal="center"/>
    </xf>
    <xf numFmtId="0" fontId="2" fillId="0" borderId="198" xfId="0" applyFont="1" applyBorder="1" applyAlignment="1">
      <alignment horizontal="center"/>
    </xf>
    <xf numFmtId="9" fontId="3" fillId="0" borderId="199" xfId="0" applyNumberFormat="1" applyFont="1" applyBorder="1" applyAlignment="1">
      <alignment horizontal="center" wrapText="1"/>
    </xf>
    <xf numFmtId="0" fontId="2" fillId="0" borderId="200" xfId="0" applyFont="1" applyBorder="1" applyAlignment="1">
      <alignment horizontal="center"/>
    </xf>
    <xf numFmtId="0" fontId="2" fillId="137" borderId="201" xfId="0" applyFont="1" applyFill="1" applyBorder="1" applyAlignment="1">
      <alignment horizontal="center"/>
    </xf>
    <xf numFmtId="0" fontId="3" fillId="138" borderId="202" xfId="0" applyFont="1" applyFill="1" applyBorder="1" applyAlignment="1">
      <alignment horizontal="center"/>
    </xf>
    <xf numFmtId="0" fontId="3" fillId="139" borderId="203" xfId="0" applyFont="1" applyFill="1" applyBorder="1" applyAlignment="1">
      <alignment horizontal="center"/>
    </xf>
    <xf numFmtId="0" fontId="3" fillId="0" borderId="204" xfId="0" applyFont="1" applyBorder="1" applyAlignment="1">
      <alignment horizontal="center" vertical="center"/>
    </xf>
    <xf numFmtId="0" fontId="3" fillId="140" borderId="205" xfId="0" applyFont="1" applyFill="1" applyBorder="1" applyAlignment="1">
      <alignment horizontal="center"/>
    </xf>
    <xf numFmtId="58" fontId="2" fillId="18" borderId="35" xfId="0" applyNumberFormat="1" applyFont="1" applyFill="1" applyBorder="1" applyAlignment="1">
      <alignment horizontal="center" vertical="center" wrapText="1"/>
    </xf>
    <xf numFmtId="58" fontId="2" fillId="20" borderId="37" xfId="0" applyNumberFormat="1" applyFont="1" applyFill="1" applyBorder="1" applyAlignment="1">
      <alignment horizontal="center" wrapText="1"/>
    </xf>
    <xf numFmtId="58" fontId="2" fillId="26" borderId="45" xfId="0" applyNumberFormat="1" applyFont="1" applyFill="1" applyBorder="1" applyAlignment="1">
      <alignment horizontal="center" wrapText="1"/>
    </xf>
    <xf numFmtId="58" fontId="2" fillId="22" borderId="40" xfId="0" applyNumberFormat="1" applyFont="1" applyFill="1" applyBorder="1" applyAlignment="1">
      <alignment horizontal="center" wrapText="1"/>
    </xf>
    <xf numFmtId="58" fontId="2" fillId="23" borderId="41" xfId="0" applyNumberFormat="1" applyFont="1" applyFill="1" applyBorder="1" applyAlignment="1">
      <alignment horizontal="center" wrapText="1"/>
    </xf>
    <xf numFmtId="58" fontId="4" fillId="0" borderId="46" xfId="0" applyNumberFormat="1" applyFont="1" applyBorder="1" applyAlignment="1">
      <alignment horizontal="center" vertical="center"/>
    </xf>
    <xf numFmtId="58" fontId="2" fillId="21" borderId="38" xfId="0" applyNumberFormat="1" applyFont="1" applyFill="1" applyBorder="1" applyAlignment="1">
      <alignment horizontal="center" wrapText="1"/>
    </xf>
    <xf numFmtId="58" fontId="2" fillId="25" borderId="43" xfId="0" applyNumberFormat="1" applyFont="1" applyFill="1" applyBorder="1" applyAlignment="1">
      <alignment horizontal="center" wrapText="1"/>
    </xf>
    <xf numFmtId="58" fontId="2" fillId="73" borderId="106" xfId="0" applyNumberFormat="1" applyFont="1" applyFill="1" applyBorder="1" applyAlignment="1">
      <alignment horizontal="center" vertical="center" wrapText="1"/>
    </xf>
    <xf numFmtId="58" fontId="2" fillId="72" borderId="105" xfId="0" applyNumberFormat="1" applyFont="1" applyFill="1" applyBorder="1" applyAlignment="1">
      <alignment horizontal="center" vertical="center" wrapText="1"/>
    </xf>
    <xf numFmtId="58" fontId="2" fillId="74" borderId="107" xfId="0" applyNumberFormat="1" applyFont="1" applyFill="1" applyBorder="1" applyAlignment="1">
      <alignment horizontal="center" vertical="center" wrapText="1"/>
    </xf>
    <xf numFmtId="58" fontId="2" fillId="91" borderId="127" xfId="0" applyNumberFormat="1" applyFont="1" applyFill="1" applyBorder="1" applyAlignment="1">
      <alignment horizontal="center" wrapText="1"/>
    </xf>
    <xf numFmtId="58" fontId="2" fillId="93" borderId="129" xfId="0" applyNumberFormat="1" applyFont="1" applyFill="1" applyBorder="1" applyAlignment="1">
      <alignment horizontal="center" wrapText="1"/>
    </xf>
    <xf numFmtId="58" fontId="2" fillId="95" borderId="131" xfId="0" applyNumberFormat="1" applyFont="1" applyFill="1" applyBorder="1" applyAlignment="1">
      <alignment horizontal="center" wrapText="1"/>
    </xf>
    <xf numFmtId="58" fontId="2" fillId="99" borderId="140" xfId="0" applyNumberFormat="1" applyFont="1" applyFill="1" applyBorder="1" applyAlignment="1">
      <alignment horizontal="center" wrapText="1"/>
    </xf>
    <xf numFmtId="58" fontId="2" fillId="109" borderId="155" xfId="0" applyNumberFormat="1" applyFont="1" applyFill="1" applyBorder="1" applyAlignment="1">
      <alignment horizontal="center" vertical="center" wrapText="1"/>
    </xf>
    <xf numFmtId="58" fontId="2" fillId="111" borderId="158" xfId="0" applyNumberFormat="1" applyFont="1" applyFill="1" applyBorder="1" applyAlignment="1">
      <alignment horizontal="center" wrapText="1"/>
    </xf>
    <xf numFmtId="58" fontId="2" fillId="115" borderId="162" xfId="0" applyNumberFormat="1" applyFont="1" applyFill="1" applyBorder="1" applyAlignment="1">
      <alignment horizontal="center" wrapText="1"/>
    </xf>
    <xf numFmtId="58" fontId="4" fillId="0" borderId="157" xfId="0" applyNumberFormat="1" applyFont="1" applyBorder="1" applyAlignment="1">
      <alignment horizontal="center" vertical="center"/>
    </xf>
    <xf numFmtId="58" fontId="2" fillId="113" borderId="160" xfId="0" applyNumberFormat="1" applyFont="1" applyFill="1" applyBorder="1" applyAlignment="1">
      <alignment horizontal="center" vertical="center" wrapText="1"/>
    </xf>
    <xf numFmtId="58" fontId="2" fillId="119" borderId="168" xfId="0" applyNumberFormat="1" applyFont="1" applyFill="1" applyBorder="1" applyAlignment="1">
      <alignment horizontal="center" vertical="center" wrapText="1"/>
    </xf>
    <xf numFmtId="58" fontId="4" fillId="0" borderId="178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O956"/>
  <sheetViews>
    <sheetView workbookViewId="0">
      <pane ySplit="1" topLeftCell="A2" activePane="bottomLeft" state="frozen"/>
      <selection pane="bottomLeft" sqref="A1:B1"/>
    </sheetView>
  </sheetViews>
  <sheetFormatPr defaultColWidth="14" defaultRowHeight="12.75" x14ac:dyDescent="0.2"/>
  <cols>
    <col min="1" max="4" width="24" customWidth="1"/>
    <col min="5" max="49" width="23" customWidth="1"/>
    <col min="50" max="50" width="18" customWidth="1"/>
    <col min="51" max="59" width="28" customWidth="1"/>
  </cols>
  <sheetData>
    <row r="1" spans="1:67" x14ac:dyDescent="0.2">
      <c r="A1" s="192">
        <v>46098</v>
      </c>
      <c r="B1" s="192"/>
      <c r="C1" s="35" t="s">
        <v>0</v>
      </c>
      <c r="D1" s="192">
        <v>46063</v>
      </c>
      <c r="E1" s="192"/>
      <c r="F1" s="35" t="s">
        <v>0</v>
      </c>
      <c r="G1" s="192">
        <v>46037</v>
      </c>
      <c r="H1" s="192"/>
      <c r="I1" s="35" t="s">
        <v>0</v>
      </c>
      <c r="J1" s="192">
        <v>46000</v>
      </c>
      <c r="K1" s="192"/>
      <c r="L1" s="35" t="s">
        <v>0</v>
      </c>
      <c r="M1" s="192">
        <v>45960</v>
      </c>
      <c r="N1" s="192"/>
      <c r="O1" s="35" t="s">
        <v>0</v>
      </c>
      <c r="P1" s="192">
        <v>45930</v>
      </c>
      <c r="Q1" s="192"/>
      <c r="R1" s="35" t="s">
        <v>0</v>
      </c>
      <c r="S1" s="192">
        <v>45895</v>
      </c>
      <c r="T1" s="192"/>
      <c r="U1" s="35" t="s">
        <v>0</v>
      </c>
      <c r="V1" s="192">
        <v>45853</v>
      </c>
      <c r="W1" s="192"/>
      <c r="X1" s="35" t="s">
        <v>0</v>
      </c>
      <c r="Y1" s="192">
        <v>45818</v>
      </c>
      <c r="Z1" s="192"/>
      <c r="AA1" s="35" t="s">
        <v>0</v>
      </c>
      <c r="AB1" s="192">
        <v>45776</v>
      </c>
      <c r="AC1" s="192"/>
      <c r="AD1" s="35" t="s">
        <v>0</v>
      </c>
      <c r="AE1" s="192">
        <v>45741</v>
      </c>
      <c r="AF1" s="192"/>
      <c r="AG1" s="35" t="s">
        <v>0</v>
      </c>
      <c r="AH1" s="192">
        <v>45708</v>
      </c>
      <c r="AI1" s="192"/>
      <c r="AJ1" s="35" t="s">
        <v>0</v>
      </c>
      <c r="AK1" s="193">
        <v>45680</v>
      </c>
      <c r="AL1" s="193"/>
      <c r="AM1" s="35" t="s">
        <v>0</v>
      </c>
      <c r="AN1" s="41">
        <v>45650</v>
      </c>
      <c r="AO1" s="34" t="s">
        <v>0</v>
      </c>
      <c r="AP1" s="193">
        <v>45601</v>
      </c>
      <c r="AQ1" s="194"/>
      <c r="AR1" s="34" t="s">
        <v>0</v>
      </c>
      <c r="AS1" s="193">
        <v>45565</v>
      </c>
      <c r="AT1" s="199"/>
      <c r="AU1" s="38" t="s">
        <v>0</v>
      </c>
      <c r="AV1" s="195">
        <v>45531</v>
      </c>
      <c r="AW1" s="195"/>
      <c r="AX1" s="38" t="s">
        <v>0</v>
      </c>
      <c r="AY1" s="195">
        <v>45496</v>
      </c>
      <c r="AZ1" s="196"/>
      <c r="BA1" s="34" t="s">
        <v>0</v>
      </c>
      <c r="BB1" s="198">
        <v>45461</v>
      </c>
      <c r="BC1" s="195"/>
      <c r="BD1" s="42" t="s">
        <v>0</v>
      </c>
      <c r="BE1" s="197">
        <v>45419</v>
      </c>
      <c r="BF1" s="197"/>
      <c r="BG1" s="40" t="s">
        <v>0</v>
      </c>
      <c r="BH1" s="36"/>
      <c r="BI1" s="36"/>
      <c r="BJ1" s="36"/>
      <c r="BK1" s="36"/>
      <c r="BL1" s="36"/>
      <c r="BM1" s="36"/>
      <c r="BN1" s="36"/>
      <c r="BO1" s="36"/>
    </row>
    <row r="2" spans="1:67" x14ac:dyDescent="0.2">
      <c r="A2" s="9" t="s">
        <v>1</v>
      </c>
      <c r="B2" s="9" t="s">
        <v>2</v>
      </c>
      <c r="C2" s="14">
        <v>1E-3</v>
      </c>
      <c r="D2" s="15" t="s">
        <v>3</v>
      </c>
      <c r="E2" s="15" t="s">
        <v>4</v>
      </c>
      <c r="F2" s="25">
        <v>1E-3</v>
      </c>
      <c r="G2" s="29" t="s">
        <v>5</v>
      </c>
      <c r="H2" s="28" t="s">
        <v>6</v>
      </c>
      <c r="I2" s="14">
        <v>1E-3</v>
      </c>
      <c r="J2" s="29" t="s">
        <v>7</v>
      </c>
      <c r="K2" s="28" t="s">
        <v>8</v>
      </c>
      <c r="L2" s="3">
        <v>2E-3</v>
      </c>
      <c r="M2" s="10" t="s">
        <v>9</v>
      </c>
      <c r="N2" s="9" t="s">
        <v>10</v>
      </c>
      <c r="O2" s="3">
        <v>2E-3</v>
      </c>
      <c r="P2" s="9" t="s">
        <v>11</v>
      </c>
      <c r="Q2" s="9" t="s">
        <v>12</v>
      </c>
      <c r="R2" s="3">
        <v>2.8E-3</v>
      </c>
      <c r="S2" s="15" t="s">
        <v>13</v>
      </c>
      <c r="T2" s="9" t="s">
        <v>14</v>
      </c>
      <c r="U2" s="3">
        <v>1.5E-3</v>
      </c>
      <c r="V2" s="43" t="s">
        <v>15</v>
      </c>
      <c r="W2" s="44" t="s">
        <v>16</v>
      </c>
      <c r="X2" s="45">
        <v>2.2000000000000001E-3</v>
      </c>
      <c r="Y2" s="15" t="s">
        <v>17</v>
      </c>
      <c r="Z2" s="9" t="s">
        <v>18</v>
      </c>
      <c r="AA2" s="3">
        <v>2.5000000000000001E-3</v>
      </c>
      <c r="AB2" s="15" t="s">
        <v>19</v>
      </c>
      <c r="AC2" s="9" t="s">
        <v>20</v>
      </c>
      <c r="AD2" s="3">
        <v>2.5000000000000001E-3</v>
      </c>
      <c r="AE2" s="19" t="s">
        <v>21</v>
      </c>
      <c r="AF2" s="18" t="s">
        <v>22</v>
      </c>
      <c r="AG2" s="3">
        <v>2.5000000000000001E-3</v>
      </c>
      <c r="AH2" s="19" t="s">
        <v>23</v>
      </c>
      <c r="AI2" s="24" t="s">
        <v>24</v>
      </c>
      <c r="AJ2" s="3">
        <v>2.5000000000000001E-3</v>
      </c>
      <c r="AK2" s="19" t="s">
        <v>25</v>
      </c>
      <c r="AL2" s="18" t="s">
        <v>26</v>
      </c>
      <c r="AM2" s="14">
        <v>2.2000000000000001E-3</v>
      </c>
      <c r="AN2" s="27" t="s">
        <v>27</v>
      </c>
      <c r="AO2" s="14">
        <v>1E-3</v>
      </c>
      <c r="AP2" s="19" t="s">
        <v>28</v>
      </c>
      <c r="AQ2" s="24" t="s">
        <v>29</v>
      </c>
      <c r="AR2" s="14">
        <v>2.5999999999999999E-3</v>
      </c>
      <c r="AS2" s="19" t="s">
        <v>30</v>
      </c>
      <c r="AT2" s="18" t="s">
        <v>31</v>
      </c>
      <c r="AU2" s="14">
        <v>1E-3</v>
      </c>
      <c r="AV2" s="20" t="s">
        <v>32</v>
      </c>
      <c r="AW2" s="23" t="s">
        <v>33</v>
      </c>
      <c r="AX2" s="22">
        <v>2.5000000000000001E-3</v>
      </c>
      <c r="AY2" s="18" t="s">
        <v>32</v>
      </c>
      <c r="AZ2" s="24" t="s">
        <v>33</v>
      </c>
      <c r="BA2" s="14">
        <v>1.9E-3</v>
      </c>
      <c r="BB2" s="19" t="s">
        <v>34</v>
      </c>
      <c r="BC2" s="19" t="s">
        <v>35</v>
      </c>
      <c r="BD2" s="21">
        <v>2.8E-3</v>
      </c>
      <c r="BE2" s="11" t="s">
        <v>36</v>
      </c>
      <c r="BF2" s="11" t="s">
        <v>37</v>
      </c>
      <c r="BG2" s="16">
        <v>3.3E-3</v>
      </c>
      <c r="BH2" s="1"/>
      <c r="BI2" s="1"/>
      <c r="BJ2" s="1"/>
      <c r="BK2" s="1"/>
      <c r="BL2" s="1"/>
      <c r="BM2" s="1"/>
      <c r="BN2" s="1"/>
      <c r="BO2" s="1"/>
    </row>
    <row r="3" spans="1:67" x14ac:dyDescent="0.2">
      <c r="A3" s="5" t="s">
        <v>3</v>
      </c>
      <c r="B3" s="5" t="s">
        <v>4</v>
      </c>
      <c r="C3" s="14">
        <v>3.0000000000000001E-3</v>
      </c>
      <c r="D3" s="31" t="s">
        <v>5</v>
      </c>
      <c r="E3" s="31" t="s">
        <v>6</v>
      </c>
      <c r="F3" s="32">
        <v>3.3E-3</v>
      </c>
      <c r="G3" s="12" t="s">
        <v>7</v>
      </c>
      <c r="H3" s="5" t="s">
        <v>8</v>
      </c>
      <c r="I3" s="14">
        <v>3.0000000000000001E-3</v>
      </c>
      <c r="J3" s="12" t="s">
        <v>9</v>
      </c>
      <c r="K3" s="5" t="s">
        <v>10</v>
      </c>
      <c r="L3" s="3">
        <v>3.0000000000000001E-3</v>
      </c>
      <c r="M3" s="10" t="s">
        <v>38</v>
      </c>
      <c r="N3" s="9" t="s">
        <v>39</v>
      </c>
      <c r="O3" s="3">
        <v>3.0000000000000001E-3</v>
      </c>
      <c r="P3" s="5" t="s">
        <v>13</v>
      </c>
      <c r="Q3" s="5" t="s">
        <v>14</v>
      </c>
      <c r="R3" s="3">
        <v>3.2000000000000002E-3</v>
      </c>
      <c r="S3" s="12" t="s">
        <v>15</v>
      </c>
      <c r="T3" s="5" t="s">
        <v>16</v>
      </c>
      <c r="U3" s="3">
        <v>1.5E-3</v>
      </c>
      <c r="V3" s="12" t="s">
        <v>17</v>
      </c>
      <c r="W3" s="5" t="s">
        <v>18</v>
      </c>
      <c r="X3" s="14">
        <v>2.5999999999999999E-3</v>
      </c>
      <c r="Y3" s="13" t="s">
        <v>19</v>
      </c>
      <c r="Z3" s="11" t="s">
        <v>20</v>
      </c>
      <c r="AA3" s="3">
        <v>2.5000000000000001E-3</v>
      </c>
      <c r="AB3" s="13" t="s">
        <v>21</v>
      </c>
      <c r="AC3" s="11" t="s">
        <v>22</v>
      </c>
      <c r="AD3" s="3">
        <v>2.5000000000000001E-3</v>
      </c>
      <c r="AE3" s="13" t="s">
        <v>23</v>
      </c>
      <c r="AF3" s="11" t="s">
        <v>24</v>
      </c>
      <c r="AG3" s="3">
        <v>2.5000000000000001E-3</v>
      </c>
      <c r="AH3" s="13" t="s">
        <v>25</v>
      </c>
      <c r="AI3" s="23" t="s">
        <v>26</v>
      </c>
      <c r="AJ3" s="3">
        <v>2.5000000000000001E-3</v>
      </c>
      <c r="AK3" s="19" t="s">
        <v>40</v>
      </c>
      <c r="AL3" s="18" t="s">
        <v>41</v>
      </c>
      <c r="AM3" s="14">
        <v>2.8999999999999998E-3</v>
      </c>
      <c r="AN3" s="20" t="s">
        <v>29</v>
      </c>
      <c r="AO3" s="14">
        <v>3.2000000000000002E-3</v>
      </c>
      <c r="AP3" s="19" t="s">
        <v>42</v>
      </c>
      <c r="AQ3" s="24" t="s">
        <v>43</v>
      </c>
      <c r="AR3" s="14">
        <v>2.8E-3</v>
      </c>
      <c r="AS3" s="19" t="s">
        <v>44</v>
      </c>
      <c r="AT3" s="18" t="s">
        <v>45</v>
      </c>
      <c r="AU3" s="14">
        <v>3.0999999999999999E-3</v>
      </c>
      <c r="AV3" s="27" t="s">
        <v>46</v>
      </c>
      <c r="AW3" s="24" t="s">
        <v>47</v>
      </c>
      <c r="AX3" s="22">
        <v>2.7000000000000001E-3</v>
      </c>
      <c r="AY3" s="18" t="s">
        <v>48</v>
      </c>
      <c r="AZ3" s="24" t="s">
        <v>49</v>
      </c>
      <c r="BA3" s="14">
        <v>3.0000000000000001E-3</v>
      </c>
      <c r="BB3" s="19" t="s">
        <v>50</v>
      </c>
      <c r="BC3" s="19" t="s">
        <v>51</v>
      </c>
      <c r="BD3" s="21">
        <v>2.8E-3</v>
      </c>
      <c r="BE3" s="11" t="s">
        <v>52</v>
      </c>
      <c r="BF3" s="11" t="s">
        <v>53</v>
      </c>
      <c r="BG3" s="16">
        <v>3.3E-3</v>
      </c>
      <c r="BH3" s="1"/>
      <c r="BI3" s="1"/>
      <c r="BJ3" s="1"/>
      <c r="BK3" s="1"/>
      <c r="BL3" s="1"/>
      <c r="BM3" s="1"/>
      <c r="BN3" s="1"/>
      <c r="BO3" s="1"/>
    </row>
    <row r="4" spans="1:67" x14ac:dyDescent="0.2">
      <c r="A4" s="33" t="s">
        <v>5</v>
      </c>
      <c r="B4" s="33" t="s">
        <v>6</v>
      </c>
      <c r="C4" s="14">
        <v>3.0000000000000001E-3</v>
      </c>
      <c r="D4" s="12" t="s">
        <v>9</v>
      </c>
      <c r="E4" s="12" t="s">
        <v>10</v>
      </c>
      <c r="F4" s="3">
        <v>3.3999999999999998E-3</v>
      </c>
      <c r="G4" s="12" t="s">
        <v>9</v>
      </c>
      <c r="H4" s="5" t="s">
        <v>10</v>
      </c>
      <c r="I4" s="14">
        <v>3.0000000000000001E-3</v>
      </c>
      <c r="J4" s="12" t="s">
        <v>38</v>
      </c>
      <c r="K4" s="5" t="s">
        <v>39</v>
      </c>
      <c r="L4" s="3">
        <v>3.0000000000000001E-3</v>
      </c>
      <c r="M4" s="26" t="s">
        <v>11</v>
      </c>
      <c r="N4" s="5" t="s">
        <v>12</v>
      </c>
      <c r="O4" s="3">
        <v>3.0000000000000001E-3</v>
      </c>
      <c r="P4" s="5" t="s">
        <v>15</v>
      </c>
      <c r="Q4" s="5" t="s">
        <v>16</v>
      </c>
      <c r="R4" s="3">
        <v>3.2000000000000002E-3</v>
      </c>
      <c r="S4" s="12" t="s">
        <v>17</v>
      </c>
      <c r="T4" s="5" t="s">
        <v>18</v>
      </c>
      <c r="U4" s="3">
        <v>1.5E-3</v>
      </c>
      <c r="V4" s="13" t="s">
        <v>19</v>
      </c>
      <c r="W4" s="11" t="s">
        <v>20</v>
      </c>
      <c r="X4" s="14">
        <v>2.5999999999999999E-3</v>
      </c>
      <c r="Y4" s="13" t="s">
        <v>21</v>
      </c>
      <c r="Z4" s="11" t="s">
        <v>22</v>
      </c>
      <c r="AA4" s="3">
        <v>2.5000000000000001E-3</v>
      </c>
      <c r="AB4" s="13" t="s">
        <v>23</v>
      </c>
      <c r="AC4" s="11" t="s">
        <v>24</v>
      </c>
      <c r="AD4" s="3">
        <v>2.5000000000000001E-3</v>
      </c>
      <c r="AE4" s="13" t="s">
        <v>25</v>
      </c>
      <c r="AF4" s="11" t="s">
        <v>26</v>
      </c>
      <c r="AG4" s="3">
        <v>2.5000000000000001E-3</v>
      </c>
      <c r="AH4" s="13" t="s">
        <v>40</v>
      </c>
      <c r="AI4" s="23" t="s">
        <v>41</v>
      </c>
      <c r="AJ4" s="3">
        <v>2.5000000000000001E-3</v>
      </c>
      <c r="AK4" s="13" t="s">
        <v>54</v>
      </c>
      <c r="AL4" s="11" t="s">
        <v>27</v>
      </c>
      <c r="AM4" s="14">
        <v>3.8E-3</v>
      </c>
      <c r="AN4" s="20" t="s">
        <v>43</v>
      </c>
      <c r="AO4" s="14">
        <v>3.2000000000000002E-3</v>
      </c>
      <c r="AP4" s="19" t="s">
        <v>55</v>
      </c>
      <c r="AQ4" s="24" t="s">
        <v>56</v>
      </c>
      <c r="AR4" s="14">
        <v>3.8999999999999998E-3</v>
      </c>
      <c r="AS4" s="13" t="s">
        <v>46</v>
      </c>
      <c r="AT4" s="11" t="s">
        <v>47</v>
      </c>
      <c r="AU4" s="14">
        <v>4.4000000000000003E-3</v>
      </c>
      <c r="AV4" s="20" t="s">
        <v>48</v>
      </c>
      <c r="AW4" s="23" t="s">
        <v>49</v>
      </c>
      <c r="AX4" s="22">
        <v>3.7000000000000002E-3</v>
      </c>
      <c r="AY4" s="11" t="s">
        <v>50</v>
      </c>
      <c r="AZ4" s="23" t="s">
        <v>51</v>
      </c>
      <c r="BA4" s="14">
        <v>3.0000000000000001E-3</v>
      </c>
      <c r="BB4" s="13" t="s">
        <v>36</v>
      </c>
      <c r="BC4" s="13" t="s">
        <v>37</v>
      </c>
      <c r="BD4" s="21">
        <v>3.8999999999999998E-3</v>
      </c>
      <c r="BE4" s="11" t="s">
        <v>57</v>
      </c>
      <c r="BF4" s="11" t="s">
        <v>58</v>
      </c>
      <c r="BG4" s="16">
        <v>3.3E-3</v>
      </c>
      <c r="BH4" s="1"/>
      <c r="BI4" s="1"/>
      <c r="BJ4" s="1"/>
      <c r="BK4" s="1"/>
      <c r="BL4" s="1"/>
      <c r="BM4" s="1"/>
      <c r="BN4" s="1"/>
      <c r="BO4" s="1"/>
    </row>
    <row r="5" spans="1:67" x14ac:dyDescent="0.2">
      <c r="A5" s="5" t="s">
        <v>9</v>
      </c>
      <c r="B5" s="5" t="s">
        <v>10</v>
      </c>
      <c r="C5" s="14">
        <v>6.0000000000000001E-3</v>
      </c>
      <c r="D5" s="12" t="s">
        <v>7</v>
      </c>
      <c r="E5" s="12" t="s">
        <v>8</v>
      </c>
      <c r="F5" s="3">
        <v>6.7000000000000002E-3</v>
      </c>
      <c r="G5" s="12" t="s">
        <v>38</v>
      </c>
      <c r="H5" s="5" t="s">
        <v>39</v>
      </c>
      <c r="I5" s="14">
        <v>6.0000000000000001E-3</v>
      </c>
      <c r="J5" s="12" t="s">
        <v>11</v>
      </c>
      <c r="K5" s="5" t="s">
        <v>12</v>
      </c>
      <c r="L5" s="3">
        <v>4.4999999999999997E-3</v>
      </c>
      <c r="M5" s="26" t="s">
        <v>13</v>
      </c>
      <c r="N5" s="5" t="s">
        <v>14</v>
      </c>
      <c r="O5" s="3">
        <v>4.4999999999999997E-3</v>
      </c>
      <c r="P5" s="5" t="s">
        <v>17</v>
      </c>
      <c r="Q5" s="5" t="s">
        <v>18</v>
      </c>
      <c r="R5" s="3">
        <v>3.2000000000000002E-3</v>
      </c>
      <c r="S5" s="13" t="s">
        <v>21</v>
      </c>
      <c r="T5" s="11" t="s">
        <v>22</v>
      </c>
      <c r="U5" s="3">
        <v>1.5E-3</v>
      </c>
      <c r="V5" s="13" t="s">
        <v>21</v>
      </c>
      <c r="W5" s="11" t="s">
        <v>22</v>
      </c>
      <c r="X5" s="14">
        <v>2.5999999999999999E-3</v>
      </c>
      <c r="Y5" s="13" t="s">
        <v>23</v>
      </c>
      <c r="Z5" s="11" t="s">
        <v>24</v>
      </c>
      <c r="AA5" s="3">
        <v>2.5000000000000001E-3</v>
      </c>
      <c r="AB5" s="13" t="s">
        <v>25</v>
      </c>
      <c r="AC5" s="11" t="s">
        <v>26</v>
      </c>
      <c r="AD5" s="3">
        <v>2.5000000000000001E-3</v>
      </c>
      <c r="AE5" s="13" t="s">
        <v>40</v>
      </c>
      <c r="AF5" s="11" t="s">
        <v>41</v>
      </c>
      <c r="AG5" s="3">
        <v>2.5000000000000001E-3</v>
      </c>
      <c r="AH5" s="13" t="s">
        <v>54</v>
      </c>
      <c r="AI5" s="23" t="s">
        <v>27</v>
      </c>
      <c r="AJ5" s="3">
        <v>2.5000000000000001E-3</v>
      </c>
      <c r="AK5" s="13" t="s">
        <v>55</v>
      </c>
      <c r="AL5" s="11" t="s">
        <v>56</v>
      </c>
      <c r="AM5" s="14">
        <v>4.0000000000000001E-3</v>
      </c>
      <c r="AN5" s="20" t="s">
        <v>56</v>
      </c>
      <c r="AO5" s="14">
        <v>4.1000000000000003E-3</v>
      </c>
      <c r="AP5" s="13" t="s">
        <v>30</v>
      </c>
      <c r="AQ5" s="23" t="s">
        <v>31</v>
      </c>
      <c r="AR5" s="14">
        <v>3.8999999999999998E-3</v>
      </c>
      <c r="AS5" s="13" t="s">
        <v>48</v>
      </c>
      <c r="AT5" s="5" t="s">
        <v>49</v>
      </c>
      <c r="AU5" s="14">
        <v>4.4000000000000003E-3</v>
      </c>
      <c r="AV5" s="20" t="s">
        <v>50</v>
      </c>
      <c r="AW5" s="23" t="s">
        <v>51</v>
      </c>
      <c r="AX5" s="22">
        <v>3.7000000000000002E-3</v>
      </c>
      <c r="AY5" s="11" t="s">
        <v>34</v>
      </c>
      <c r="AZ5" s="23" t="s">
        <v>35</v>
      </c>
      <c r="BA5" s="14">
        <v>3.0000000000000001E-3</v>
      </c>
      <c r="BB5" s="13" t="s">
        <v>52</v>
      </c>
      <c r="BC5" s="13" t="s">
        <v>53</v>
      </c>
      <c r="BD5" s="21">
        <v>3.8999999999999998E-3</v>
      </c>
      <c r="BE5" s="11" t="s">
        <v>59</v>
      </c>
      <c r="BF5" s="11" t="s">
        <v>60</v>
      </c>
      <c r="BG5" s="16">
        <v>3.3E-3</v>
      </c>
      <c r="BH5" s="1"/>
      <c r="BI5" s="1"/>
      <c r="BJ5" s="1"/>
      <c r="BK5" s="1"/>
      <c r="BL5" s="1"/>
      <c r="BM5" s="1"/>
      <c r="BN5" s="1"/>
      <c r="BO5" s="1"/>
    </row>
    <row r="6" spans="1:67" x14ac:dyDescent="0.2">
      <c r="A6" s="9" t="s">
        <v>61</v>
      </c>
      <c r="B6" s="9" t="s">
        <v>62</v>
      </c>
      <c r="C6" s="14">
        <v>2.5000000000000001E-2</v>
      </c>
      <c r="D6" s="13" t="s">
        <v>63</v>
      </c>
      <c r="E6" s="13" t="s">
        <v>64</v>
      </c>
      <c r="F6" s="46">
        <v>2.8000000000000001E-2</v>
      </c>
      <c r="G6" s="19" t="s">
        <v>63</v>
      </c>
      <c r="H6" s="18" t="s">
        <v>64</v>
      </c>
      <c r="I6" s="14">
        <v>2.5000000000000001E-2</v>
      </c>
      <c r="J6" s="13" t="s">
        <v>65</v>
      </c>
      <c r="K6" s="11" t="s">
        <v>66</v>
      </c>
      <c r="L6" s="3">
        <v>2.3599999999999999E-2</v>
      </c>
      <c r="M6" s="10" t="s">
        <v>67</v>
      </c>
      <c r="N6" s="9" t="s">
        <v>68</v>
      </c>
      <c r="O6" s="3">
        <v>2.3599999999999999E-2</v>
      </c>
      <c r="P6" s="9" t="s">
        <v>69</v>
      </c>
      <c r="Q6" s="9" t="s">
        <v>70</v>
      </c>
      <c r="R6" s="3">
        <v>1.9300000000000001E-2</v>
      </c>
      <c r="S6" s="15" t="s">
        <v>71</v>
      </c>
      <c r="T6" s="9" t="s">
        <v>72</v>
      </c>
      <c r="U6" s="3">
        <v>2.2499999999999999E-2</v>
      </c>
      <c r="V6" s="43" t="s">
        <v>73</v>
      </c>
      <c r="W6" s="44" t="s">
        <v>74</v>
      </c>
      <c r="X6" s="45">
        <v>6.8999999999999999E-3</v>
      </c>
      <c r="Y6" s="15" t="s">
        <v>75</v>
      </c>
      <c r="Z6" s="9" t="s">
        <v>76</v>
      </c>
      <c r="AA6" s="3">
        <v>5.8999999999999999E-3</v>
      </c>
      <c r="AB6" s="15" t="s">
        <v>77</v>
      </c>
      <c r="AC6" s="9" t="s">
        <v>78</v>
      </c>
      <c r="AD6" s="3">
        <v>5.8999999999999999E-3</v>
      </c>
      <c r="AE6" s="19" t="s">
        <v>79</v>
      </c>
      <c r="AF6" s="18" t="s">
        <v>80</v>
      </c>
      <c r="AG6" s="3">
        <v>5.5999999999999999E-3</v>
      </c>
      <c r="AH6" s="19" t="s">
        <v>81</v>
      </c>
      <c r="AI6" s="24" t="s">
        <v>82</v>
      </c>
      <c r="AJ6" s="3">
        <v>5.4999999999999997E-3</v>
      </c>
      <c r="AK6" s="19" t="s">
        <v>83</v>
      </c>
      <c r="AL6" s="18" t="s">
        <v>84</v>
      </c>
      <c r="AM6" s="14">
        <v>3.8999999999999998E-3</v>
      </c>
      <c r="AN6" s="27" t="s">
        <v>85</v>
      </c>
      <c r="AO6" s="14">
        <v>4.1000000000000003E-3</v>
      </c>
      <c r="AP6" s="15" t="s">
        <v>86</v>
      </c>
      <c r="AQ6" s="17" t="s">
        <v>87</v>
      </c>
      <c r="AR6" s="14">
        <v>4.3E-3</v>
      </c>
      <c r="AS6" s="15" t="s">
        <v>88</v>
      </c>
      <c r="AT6" s="9" t="s">
        <v>89</v>
      </c>
      <c r="AU6" s="14">
        <v>3.0000000000000001E-3</v>
      </c>
      <c r="AV6" s="26" t="s">
        <v>90</v>
      </c>
      <c r="AW6" s="4" t="s">
        <v>91</v>
      </c>
      <c r="AX6" s="22">
        <v>4.1000000000000003E-3</v>
      </c>
      <c r="AY6" s="5" t="s">
        <v>90</v>
      </c>
      <c r="AZ6" s="4" t="s">
        <v>91</v>
      </c>
      <c r="BA6" s="14">
        <v>4.0000000000000001E-3</v>
      </c>
      <c r="BB6" s="15" t="s">
        <v>90</v>
      </c>
      <c r="BC6" s="15" t="s">
        <v>91</v>
      </c>
      <c r="BD6" s="21">
        <v>4.0000000000000001E-3</v>
      </c>
      <c r="BE6" s="11" t="s">
        <v>92</v>
      </c>
      <c r="BF6" s="11" t="s">
        <v>93</v>
      </c>
      <c r="BG6" s="16">
        <v>4.7000000000000002E-3</v>
      </c>
      <c r="BH6" s="1"/>
      <c r="BI6" s="1"/>
      <c r="BJ6" s="1"/>
      <c r="BK6" s="1"/>
      <c r="BL6" s="1"/>
      <c r="BM6" s="1"/>
      <c r="BN6" s="1"/>
      <c r="BO6" s="1"/>
    </row>
    <row r="7" spans="1:67" x14ac:dyDescent="0.2">
      <c r="A7" s="11" t="s">
        <v>63</v>
      </c>
      <c r="B7" s="11" t="s">
        <v>64</v>
      </c>
      <c r="C7" s="14">
        <v>2.5000000000000001E-2</v>
      </c>
      <c r="D7" s="12" t="s">
        <v>65</v>
      </c>
      <c r="E7" s="12" t="s">
        <v>66</v>
      </c>
      <c r="F7" s="3">
        <v>2.8000000000000001E-2</v>
      </c>
      <c r="G7" s="12" t="s">
        <v>65</v>
      </c>
      <c r="H7" s="5" t="s">
        <v>66</v>
      </c>
      <c r="I7" s="14">
        <v>2.5000000000000001E-2</v>
      </c>
      <c r="J7" s="12" t="s">
        <v>67</v>
      </c>
      <c r="K7" s="5" t="s">
        <v>68</v>
      </c>
      <c r="L7" s="3">
        <v>2.3599999999999999E-2</v>
      </c>
      <c r="M7" s="10" t="s">
        <v>94</v>
      </c>
      <c r="N7" s="9" t="s">
        <v>95</v>
      </c>
      <c r="O7" s="3">
        <v>2.3599999999999999E-2</v>
      </c>
      <c r="P7" s="9" t="s">
        <v>96</v>
      </c>
      <c r="Q7" s="9" t="s">
        <v>97</v>
      </c>
      <c r="R7" s="3">
        <v>1.9300000000000001E-2</v>
      </c>
      <c r="S7" s="12" t="s">
        <v>98</v>
      </c>
      <c r="T7" s="5" t="s">
        <v>99</v>
      </c>
      <c r="U7" s="3">
        <v>2.2499999999999999E-2</v>
      </c>
      <c r="V7" s="43" t="s">
        <v>100</v>
      </c>
      <c r="W7" s="44" t="s">
        <v>101</v>
      </c>
      <c r="X7" s="45">
        <v>1.26E-2</v>
      </c>
      <c r="Y7" s="15" t="s">
        <v>102</v>
      </c>
      <c r="Z7" s="9" t="s">
        <v>103</v>
      </c>
      <c r="AA7" s="3">
        <v>1.34E-2</v>
      </c>
      <c r="AB7" s="15" t="s">
        <v>104</v>
      </c>
      <c r="AC7" s="9" t="s">
        <v>105</v>
      </c>
      <c r="AD7" s="3">
        <v>1.34E-2</v>
      </c>
      <c r="AE7" s="19" t="s">
        <v>106</v>
      </c>
      <c r="AF7" s="18" t="s">
        <v>107</v>
      </c>
      <c r="AG7" s="3">
        <v>1.44E-2</v>
      </c>
      <c r="AH7" s="19" t="s">
        <v>108</v>
      </c>
      <c r="AI7" s="24" t="s">
        <v>109</v>
      </c>
      <c r="AJ7" s="3">
        <v>1.4200000000000001E-2</v>
      </c>
      <c r="AK7" s="19" t="s">
        <v>110</v>
      </c>
      <c r="AL7" s="18" t="s">
        <v>111</v>
      </c>
      <c r="AM7" s="14">
        <v>8.3999999999999995E-3</v>
      </c>
      <c r="AN7" s="27" t="s">
        <v>112</v>
      </c>
      <c r="AO7" s="14">
        <v>7.4999999999999997E-3</v>
      </c>
      <c r="AP7" s="15" t="s">
        <v>113</v>
      </c>
      <c r="AQ7" s="17" t="s">
        <v>114</v>
      </c>
      <c r="AR7" s="14">
        <v>4.3E-3</v>
      </c>
      <c r="AS7" s="15" t="s">
        <v>115</v>
      </c>
      <c r="AT7" s="9" t="s">
        <v>116</v>
      </c>
      <c r="AU7" s="14">
        <v>3.0000000000000001E-3</v>
      </c>
      <c r="AV7" s="26" t="s">
        <v>117</v>
      </c>
      <c r="AW7" s="4" t="s">
        <v>118</v>
      </c>
      <c r="AX7" s="22">
        <v>4.1000000000000003E-3</v>
      </c>
      <c r="AY7" s="5" t="s">
        <v>117</v>
      </c>
      <c r="AZ7" s="4" t="s">
        <v>118</v>
      </c>
      <c r="BA7" s="14">
        <v>4.0000000000000001E-3</v>
      </c>
      <c r="BB7" s="15" t="s">
        <v>117</v>
      </c>
      <c r="BC7" s="15" t="s">
        <v>118</v>
      </c>
      <c r="BD7" s="21">
        <v>4.0000000000000001E-3</v>
      </c>
      <c r="BE7" s="11" t="s">
        <v>119</v>
      </c>
      <c r="BF7" s="11" t="s">
        <v>120</v>
      </c>
      <c r="BG7" s="16">
        <v>4.7000000000000002E-3</v>
      </c>
      <c r="BH7" s="1"/>
      <c r="BI7" s="1"/>
      <c r="BJ7" s="1"/>
      <c r="BK7" s="1"/>
      <c r="BL7" s="1"/>
      <c r="BM7" s="1"/>
      <c r="BN7" s="1"/>
      <c r="BO7" s="1"/>
    </row>
    <row r="8" spans="1:67" x14ac:dyDescent="0.2">
      <c r="A8" s="5" t="s">
        <v>67</v>
      </c>
      <c r="B8" s="5" t="s">
        <v>68</v>
      </c>
      <c r="C8" s="14">
        <v>2.5000000000000001E-2</v>
      </c>
      <c r="D8" s="12" t="s">
        <v>67</v>
      </c>
      <c r="E8" s="12" t="s">
        <v>68</v>
      </c>
      <c r="F8" s="3">
        <v>2.8000000000000001E-2</v>
      </c>
      <c r="G8" s="12" t="s">
        <v>67</v>
      </c>
      <c r="H8" s="5" t="s">
        <v>68</v>
      </c>
      <c r="I8" s="14">
        <v>2.5000000000000001E-2</v>
      </c>
      <c r="J8" s="12" t="s">
        <v>94</v>
      </c>
      <c r="K8" s="5" t="s">
        <v>95</v>
      </c>
      <c r="L8" s="3">
        <v>2.3599999999999999E-2</v>
      </c>
      <c r="M8" s="26" t="s">
        <v>69</v>
      </c>
      <c r="N8" s="5" t="s">
        <v>70</v>
      </c>
      <c r="O8" s="3">
        <v>2.3599999999999999E-2</v>
      </c>
      <c r="P8" s="5" t="s">
        <v>71</v>
      </c>
      <c r="Q8" s="5" t="s">
        <v>72</v>
      </c>
      <c r="R8" s="3">
        <v>1.9300000000000001E-2</v>
      </c>
      <c r="S8" s="12" t="s">
        <v>121</v>
      </c>
      <c r="T8" s="5" t="s">
        <v>122</v>
      </c>
      <c r="U8" s="3">
        <v>2.2499999999999999E-2</v>
      </c>
      <c r="V8" s="43" t="s">
        <v>123</v>
      </c>
      <c r="W8" s="44" t="s">
        <v>124</v>
      </c>
      <c r="X8" s="45">
        <v>5.0299999999999997E-2</v>
      </c>
      <c r="Y8" s="15" t="s">
        <v>125</v>
      </c>
      <c r="Z8" s="9" t="s">
        <v>126</v>
      </c>
      <c r="AA8" s="3">
        <v>3.4299999999999997E-2</v>
      </c>
      <c r="AB8" s="15" t="s">
        <v>127</v>
      </c>
      <c r="AC8" s="9" t="s">
        <v>128</v>
      </c>
      <c r="AD8" s="3">
        <v>3.4299999999999997E-2</v>
      </c>
      <c r="AE8" s="19" t="s">
        <v>129</v>
      </c>
      <c r="AF8" s="18" t="s">
        <v>130</v>
      </c>
      <c r="AG8" s="3">
        <v>3.0700000000000002E-2</v>
      </c>
      <c r="AH8" s="19" t="s">
        <v>131</v>
      </c>
      <c r="AI8" s="24" t="s">
        <v>132</v>
      </c>
      <c r="AJ8" s="3">
        <v>3.0300000000000001E-2</v>
      </c>
      <c r="AK8" s="19" t="s">
        <v>133</v>
      </c>
      <c r="AL8" s="18" t="s">
        <v>134</v>
      </c>
      <c r="AM8" s="14">
        <v>1.95E-2</v>
      </c>
      <c r="AN8" s="27" t="s">
        <v>135</v>
      </c>
      <c r="AO8" s="14">
        <v>1.7399999999999999E-2</v>
      </c>
      <c r="AP8" s="15" t="s">
        <v>136</v>
      </c>
      <c r="AQ8" s="17" t="s">
        <v>137</v>
      </c>
      <c r="AR8" s="14">
        <v>4.3E-3</v>
      </c>
      <c r="AS8" s="15" t="s">
        <v>138</v>
      </c>
      <c r="AT8" s="9" t="s">
        <v>139</v>
      </c>
      <c r="AU8" s="14">
        <v>3.0000000000000001E-3</v>
      </c>
      <c r="AV8" s="26" t="s">
        <v>140</v>
      </c>
      <c r="AW8" s="4" t="s">
        <v>141</v>
      </c>
      <c r="AX8" s="22">
        <v>4.1000000000000003E-3</v>
      </c>
      <c r="AY8" s="5" t="s">
        <v>140</v>
      </c>
      <c r="AZ8" s="4" t="s">
        <v>141</v>
      </c>
      <c r="BA8" s="14">
        <v>4.0000000000000001E-3</v>
      </c>
      <c r="BB8" s="15" t="s">
        <v>140</v>
      </c>
      <c r="BC8" s="15" t="s">
        <v>141</v>
      </c>
      <c r="BD8" s="21">
        <v>4.0000000000000001E-3</v>
      </c>
      <c r="BE8" s="5" t="s">
        <v>142</v>
      </c>
      <c r="BF8" s="5" t="s">
        <v>143</v>
      </c>
      <c r="BG8" s="16">
        <v>4.7000000000000002E-3</v>
      </c>
      <c r="BH8" s="1"/>
      <c r="BI8" s="1"/>
      <c r="BJ8" s="1"/>
      <c r="BK8" s="1"/>
      <c r="BL8" s="1"/>
      <c r="BM8" s="1"/>
      <c r="BN8" s="1"/>
      <c r="BO8" s="1"/>
    </row>
    <row r="9" spans="1:67" x14ac:dyDescent="0.2">
      <c r="A9" s="9" t="s">
        <v>144</v>
      </c>
      <c r="B9" s="9" t="s">
        <v>145</v>
      </c>
      <c r="C9" s="14">
        <v>2.5000000000000001E-3</v>
      </c>
      <c r="D9" s="15" t="s">
        <v>146</v>
      </c>
      <c r="E9" s="15" t="s">
        <v>147</v>
      </c>
      <c r="F9" s="25">
        <v>2.8999999999999998E-3</v>
      </c>
      <c r="G9" s="12" t="s">
        <v>94</v>
      </c>
      <c r="H9" s="5" t="s">
        <v>95</v>
      </c>
      <c r="I9" s="14">
        <v>2.5000000000000001E-2</v>
      </c>
      <c r="J9" s="12" t="s">
        <v>69</v>
      </c>
      <c r="K9" s="5" t="s">
        <v>70</v>
      </c>
      <c r="L9" s="3">
        <v>2.3599999999999999E-2</v>
      </c>
      <c r="M9" s="26" t="s">
        <v>96</v>
      </c>
      <c r="N9" s="5" t="s">
        <v>97</v>
      </c>
      <c r="O9" s="3">
        <v>2.3599999999999999E-2</v>
      </c>
      <c r="P9" s="5" t="s">
        <v>98</v>
      </c>
      <c r="Q9" s="5" t="s">
        <v>99</v>
      </c>
      <c r="R9" s="3">
        <v>1.9300000000000001E-2</v>
      </c>
      <c r="S9" s="12" t="s">
        <v>148</v>
      </c>
      <c r="T9" s="5" t="s">
        <v>149</v>
      </c>
      <c r="U9" s="3">
        <v>2.2499999999999999E-2</v>
      </c>
      <c r="V9" s="12" t="s">
        <v>75</v>
      </c>
      <c r="W9" s="5" t="s">
        <v>76</v>
      </c>
      <c r="X9" s="14">
        <v>9.4999999999999998E-3</v>
      </c>
      <c r="Y9" s="13" t="s">
        <v>77</v>
      </c>
      <c r="Z9" s="11" t="s">
        <v>78</v>
      </c>
      <c r="AA9" s="3">
        <v>5.8999999999999999E-3</v>
      </c>
      <c r="AB9" s="13" t="s">
        <v>79</v>
      </c>
      <c r="AC9" s="11" t="s">
        <v>80</v>
      </c>
      <c r="AD9" s="3">
        <v>5.8999999999999999E-3</v>
      </c>
      <c r="AE9" s="13" t="s">
        <v>81</v>
      </c>
      <c r="AF9" s="11" t="s">
        <v>82</v>
      </c>
      <c r="AG9" s="3">
        <v>5.5999999999999999E-3</v>
      </c>
      <c r="AH9" s="13" t="s">
        <v>83</v>
      </c>
      <c r="AI9" s="23" t="s">
        <v>84</v>
      </c>
      <c r="AJ9" s="3">
        <v>5.4999999999999997E-3</v>
      </c>
      <c r="AK9" s="19" t="s">
        <v>150</v>
      </c>
      <c r="AL9" s="18" t="s">
        <v>151</v>
      </c>
      <c r="AM9" s="14">
        <v>4.4000000000000003E-3</v>
      </c>
      <c r="AN9" s="20" t="s">
        <v>152</v>
      </c>
      <c r="AO9" s="14">
        <v>1.09E-2</v>
      </c>
      <c r="AP9" s="15" t="s">
        <v>153</v>
      </c>
      <c r="AQ9" s="17" t="s">
        <v>154</v>
      </c>
      <c r="AR9" s="14">
        <v>4.3E-3</v>
      </c>
      <c r="AS9" s="12" t="s">
        <v>155</v>
      </c>
      <c r="AT9" s="5" t="s">
        <v>156</v>
      </c>
      <c r="AU9" s="14">
        <v>4.5999999999999999E-3</v>
      </c>
      <c r="AV9" s="10" t="s">
        <v>155</v>
      </c>
      <c r="AW9" s="17" t="s">
        <v>156</v>
      </c>
      <c r="AX9" s="22">
        <v>4.1000000000000003E-3</v>
      </c>
      <c r="AY9" s="11" t="s">
        <v>92</v>
      </c>
      <c r="AZ9" s="23" t="s">
        <v>93</v>
      </c>
      <c r="BA9" s="14">
        <v>4.0000000000000001E-3</v>
      </c>
      <c r="BB9" s="13" t="s">
        <v>92</v>
      </c>
      <c r="BC9" s="13" t="s">
        <v>93</v>
      </c>
      <c r="BD9" s="21">
        <v>4.0000000000000001E-3</v>
      </c>
      <c r="BE9" s="5" t="s">
        <v>157</v>
      </c>
      <c r="BF9" s="5" t="s">
        <v>158</v>
      </c>
      <c r="BG9" s="16">
        <v>3.3999999999999998E-3</v>
      </c>
      <c r="BH9" s="1"/>
      <c r="BI9" s="1"/>
      <c r="BJ9" s="1"/>
      <c r="BK9" s="1"/>
      <c r="BL9" s="1"/>
      <c r="BM9" s="1"/>
      <c r="BN9" s="1"/>
      <c r="BO9" s="1"/>
    </row>
    <row r="10" spans="1:67" x14ac:dyDescent="0.2">
      <c r="A10" s="9" t="s">
        <v>159</v>
      </c>
      <c r="B10" s="9" t="s">
        <v>160</v>
      </c>
      <c r="C10" s="14">
        <v>2.5000000000000001E-3</v>
      </c>
      <c r="D10" s="15" t="s">
        <v>161</v>
      </c>
      <c r="E10" s="15" t="s">
        <v>162</v>
      </c>
      <c r="F10" s="25">
        <v>2.8999999999999998E-3</v>
      </c>
      <c r="G10" s="15" t="s">
        <v>163</v>
      </c>
      <c r="H10" s="9" t="s">
        <v>164</v>
      </c>
      <c r="I10" s="14">
        <v>2.5999999999999999E-3</v>
      </c>
      <c r="J10" s="12" t="s">
        <v>96</v>
      </c>
      <c r="K10" s="5" t="s">
        <v>97</v>
      </c>
      <c r="L10" s="3">
        <v>2.3599999999999999E-2</v>
      </c>
      <c r="M10" s="26" t="s">
        <v>71</v>
      </c>
      <c r="N10" s="5" t="s">
        <v>72</v>
      </c>
      <c r="O10" s="3">
        <v>2.3599999999999999E-2</v>
      </c>
      <c r="P10" s="5" t="s">
        <v>121</v>
      </c>
      <c r="Q10" s="5" t="s">
        <v>122</v>
      </c>
      <c r="R10" s="3">
        <v>1.9300000000000001E-2</v>
      </c>
      <c r="S10" s="12" t="s">
        <v>165</v>
      </c>
      <c r="T10" s="5" t="s">
        <v>166</v>
      </c>
      <c r="U10" s="3">
        <v>2.2499999999999999E-2</v>
      </c>
      <c r="V10" s="12" t="s">
        <v>102</v>
      </c>
      <c r="W10" s="5" t="s">
        <v>103</v>
      </c>
      <c r="X10" s="14">
        <v>1.54E-2</v>
      </c>
      <c r="Y10" s="13" t="s">
        <v>104</v>
      </c>
      <c r="Z10" s="11" t="s">
        <v>105</v>
      </c>
      <c r="AA10" s="3">
        <v>1.34E-2</v>
      </c>
      <c r="AB10" s="13" t="s">
        <v>106</v>
      </c>
      <c r="AC10" s="11" t="s">
        <v>107</v>
      </c>
      <c r="AD10" s="3">
        <v>1.34E-2</v>
      </c>
      <c r="AE10" s="13" t="s">
        <v>108</v>
      </c>
      <c r="AF10" s="11" t="s">
        <v>109</v>
      </c>
      <c r="AG10" s="3">
        <v>1.44E-2</v>
      </c>
      <c r="AH10" s="13" t="s">
        <v>110</v>
      </c>
      <c r="AI10" s="23" t="s">
        <v>111</v>
      </c>
      <c r="AJ10" s="3">
        <v>1.4200000000000001E-2</v>
      </c>
      <c r="AK10" s="19" t="s">
        <v>167</v>
      </c>
      <c r="AL10" s="18" t="s">
        <v>168</v>
      </c>
      <c r="AM10" s="14">
        <v>8.8000000000000005E-3</v>
      </c>
      <c r="AN10" s="20" t="s">
        <v>169</v>
      </c>
      <c r="AO10" s="14">
        <v>2.18E-2</v>
      </c>
      <c r="AP10" s="15" t="s">
        <v>170</v>
      </c>
      <c r="AQ10" s="17" t="s">
        <v>171</v>
      </c>
      <c r="AR10" s="14">
        <v>4.3E-3</v>
      </c>
      <c r="AS10" s="12" t="s">
        <v>172</v>
      </c>
      <c r="AT10" s="5" t="s">
        <v>173</v>
      </c>
      <c r="AU10" s="14">
        <v>4.5999999999999999E-3</v>
      </c>
      <c r="AV10" s="10" t="s">
        <v>172</v>
      </c>
      <c r="AW10" s="17" t="s">
        <v>173</v>
      </c>
      <c r="AX10" s="22">
        <v>4.1000000000000003E-3</v>
      </c>
      <c r="AY10" s="11" t="s">
        <v>119</v>
      </c>
      <c r="AZ10" s="23" t="s">
        <v>120</v>
      </c>
      <c r="BA10" s="14">
        <v>4.0000000000000001E-3</v>
      </c>
      <c r="BB10" s="13" t="s">
        <v>119</v>
      </c>
      <c r="BC10" s="13" t="s">
        <v>120</v>
      </c>
      <c r="BD10" s="21">
        <v>4.0000000000000001E-3</v>
      </c>
      <c r="BE10" s="5" t="s">
        <v>174</v>
      </c>
      <c r="BF10" s="5" t="s">
        <v>175</v>
      </c>
      <c r="BG10" s="16">
        <v>3.3999999999999998E-3</v>
      </c>
      <c r="BH10" s="1"/>
      <c r="BI10" s="1"/>
      <c r="BJ10" s="1"/>
      <c r="BK10" s="1"/>
      <c r="BL10" s="1"/>
      <c r="BM10" s="1"/>
      <c r="BN10" s="1"/>
      <c r="BO10" s="1"/>
    </row>
    <row r="11" spans="1:67" x14ac:dyDescent="0.2">
      <c r="A11" s="5" t="s">
        <v>146</v>
      </c>
      <c r="B11" s="5" t="s">
        <v>147</v>
      </c>
      <c r="C11" s="14">
        <v>3.0000000000000001E-3</v>
      </c>
      <c r="D11" s="12" t="s">
        <v>176</v>
      </c>
      <c r="E11" s="12" t="s">
        <v>177</v>
      </c>
      <c r="F11" s="3">
        <v>3.5999999999999999E-3</v>
      </c>
      <c r="G11" s="15" t="s">
        <v>178</v>
      </c>
      <c r="H11" s="9" t="s">
        <v>179</v>
      </c>
      <c r="I11" s="14">
        <v>2.5999999999999999E-3</v>
      </c>
      <c r="J11" s="15" t="s">
        <v>180</v>
      </c>
      <c r="K11" s="9" t="s">
        <v>181</v>
      </c>
      <c r="L11" s="3">
        <v>3.0000000000000001E-3</v>
      </c>
      <c r="M11" s="10" t="s">
        <v>176</v>
      </c>
      <c r="N11" s="9" t="s">
        <v>177</v>
      </c>
      <c r="O11" s="3">
        <v>3.0000000000000001E-3</v>
      </c>
      <c r="P11" s="5" t="s">
        <v>148</v>
      </c>
      <c r="Q11" s="5" t="s">
        <v>149</v>
      </c>
      <c r="R11" s="3">
        <v>1.9300000000000001E-2</v>
      </c>
      <c r="S11" s="12" t="s">
        <v>182</v>
      </c>
      <c r="T11" s="5" t="s">
        <v>183</v>
      </c>
      <c r="U11" s="3">
        <v>2.2499999999999999E-2</v>
      </c>
      <c r="V11" s="12" t="s">
        <v>125</v>
      </c>
      <c r="W11" s="5" t="s">
        <v>126</v>
      </c>
      <c r="X11" s="14">
        <v>5.3499999999999999E-2</v>
      </c>
      <c r="Y11" s="13" t="s">
        <v>127</v>
      </c>
      <c r="Z11" s="11" t="s">
        <v>128</v>
      </c>
      <c r="AA11" s="3">
        <v>3.4299999999999997E-2</v>
      </c>
      <c r="AB11" s="13" t="s">
        <v>129</v>
      </c>
      <c r="AC11" s="11" t="s">
        <v>130</v>
      </c>
      <c r="AD11" s="3">
        <v>3.4299999999999997E-2</v>
      </c>
      <c r="AE11" s="13" t="s">
        <v>131</v>
      </c>
      <c r="AF11" s="11" t="s">
        <v>132</v>
      </c>
      <c r="AG11" s="3">
        <v>3.0700000000000002E-2</v>
      </c>
      <c r="AH11" s="13" t="s">
        <v>133</v>
      </c>
      <c r="AI11" s="23" t="s">
        <v>134</v>
      </c>
      <c r="AJ11" s="3">
        <v>3.0300000000000001E-2</v>
      </c>
      <c r="AK11" s="19" t="s">
        <v>184</v>
      </c>
      <c r="AL11" s="18" t="s">
        <v>185</v>
      </c>
      <c r="AM11" s="14">
        <v>3.9100000000000003E-2</v>
      </c>
      <c r="AN11" s="20" t="s">
        <v>186</v>
      </c>
      <c r="AO11" s="14">
        <v>5.2299999999999999E-2</v>
      </c>
      <c r="AP11" s="15" t="s">
        <v>187</v>
      </c>
      <c r="AQ11" s="17" t="s">
        <v>188</v>
      </c>
      <c r="AR11" s="14">
        <v>4.3E-3</v>
      </c>
      <c r="AS11" s="12" t="s">
        <v>189</v>
      </c>
      <c r="AT11" s="5" t="s">
        <v>190</v>
      </c>
      <c r="AU11" s="14">
        <v>4.5999999999999999E-3</v>
      </c>
      <c r="AV11" s="10" t="s">
        <v>189</v>
      </c>
      <c r="AW11" s="17" t="s">
        <v>190</v>
      </c>
      <c r="AX11" s="22">
        <v>4.1000000000000003E-3</v>
      </c>
      <c r="AY11" s="5" t="s">
        <v>142</v>
      </c>
      <c r="AZ11" s="4" t="s">
        <v>143</v>
      </c>
      <c r="BA11" s="14">
        <v>4.0000000000000001E-3</v>
      </c>
      <c r="BB11" s="12" t="s">
        <v>142</v>
      </c>
      <c r="BC11" s="12" t="s">
        <v>143</v>
      </c>
      <c r="BD11" s="21">
        <v>4.0000000000000001E-3</v>
      </c>
      <c r="BE11" s="5" t="s">
        <v>191</v>
      </c>
      <c r="BF11" s="5" t="s">
        <v>192</v>
      </c>
      <c r="BG11" s="16">
        <v>3.3999999999999998E-3</v>
      </c>
      <c r="BH11" s="1"/>
      <c r="BI11" s="1"/>
      <c r="BJ11" s="1"/>
      <c r="BK11" s="1"/>
      <c r="BL11" s="1"/>
      <c r="BM11" s="1"/>
      <c r="BN11" s="1"/>
      <c r="BO11" s="1"/>
    </row>
    <row r="12" spans="1:67" x14ac:dyDescent="0.2">
      <c r="A12" s="5" t="s">
        <v>161</v>
      </c>
      <c r="B12" s="5" t="s">
        <v>162</v>
      </c>
      <c r="C12" s="14">
        <v>3.0000000000000001E-3</v>
      </c>
      <c r="D12" s="12" t="s">
        <v>193</v>
      </c>
      <c r="E12" s="12" t="s">
        <v>194</v>
      </c>
      <c r="F12" s="3">
        <v>3.5999999999999999E-3</v>
      </c>
      <c r="G12" s="15" t="s">
        <v>195</v>
      </c>
      <c r="H12" s="9" t="s">
        <v>196</v>
      </c>
      <c r="I12" s="14">
        <v>2.5999999999999999E-3</v>
      </c>
      <c r="J12" s="12" t="s">
        <v>176</v>
      </c>
      <c r="K12" s="5" t="s">
        <v>177</v>
      </c>
      <c r="L12" s="3">
        <v>3.0000000000000001E-3</v>
      </c>
      <c r="M12" s="10" t="s">
        <v>193</v>
      </c>
      <c r="N12" s="9" t="s">
        <v>194</v>
      </c>
      <c r="O12" s="3">
        <v>3.0000000000000001E-3</v>
      </c>
      <c r="P12" s="5" t="s">
        <v>165</v>
      </c>
      <c r="Q12" s="5" t="s">
        <v>166</v>
      </c>
      <c r="R12" s="3">
        <v>1.9300000000000001E-2</v>
      </c>
      <c r="S12" s="15" t="s">
        <v>197</v>
      </c>
      <c r="T12" s="9" t="s">
        <v>198</v>
      </c>
      <c r="U12" s="3">
        <v>1.5E-3</v>
      </c>
      <c r="V12" s="13" t="s">
        <v>77</v>
      </c>
      <c r="W12" s="11" t="s">
        <v>78</v>
      </c>
      <c r="X12" s="14">
        <v>9.4999999999999998E-3</v>
      </c>
      <c r="Y12" s="13" t="s">
        <v>79</v>
      </c>
      <c r="Z12" s="11" t="s">
        <v>80</v>
      </c>
      <c r="AA12" s="3">
        <v>5.8999999999999999E-3</v>
      </c>
      <c r="AB12" s="13" t="s">
        <v>81</v>
      </c>
      <c r="AC12" s="11" t="s">
        <v>82</v>
      </c>
      <c r="AD12" s="3">
        <v>5.8999999999999999E-3</v>
      </c>
      <c r="AE12" s="13" t="s">
        <v>83</v>
      </c>
      <c r="AF12" s="11" t="s">
        <v>84</v>
      </c>
      <c r="AG12" s="3">
        <v>5.5999999999999999E-3</v>
      </c>
      <c r="AH12" s="13" t="s">
        <v>150</v>
      </c>
      <c r="AI12" s="23" t="s">
        <v>151</v>
      </c>
      <c r="AJ12" s="3">
        <v>5.4999999999999997E-3</v>
      </c>
      <c r="AK12" s="13" t="s">
        <v>199</v>
      </c>
      <c r="AL12" s="11" t="s">
        <v>85</v>
      </c>
      <c r="AM12" s="14">
        <v>4.8999999999999998E-3</v>
      </c>
      <c r="AN12" s="20" t="s">
        <v>200</v>
      </c>
      <c r="AO12" s="14">
        <v>1.09E-2</v>
      </c>
      <c r="AP12" s="15" t="s">
        <v>201</v>
      </c>
      <c r="AQ12" s="17" t="s">
        <v>202</v>
      </c>
      <c r="AR12" s="14">
        <v>2.07E-2</v>
      </c>
      <c r="AS12" s="15" t="s">
        <v>203</v>
      </c>
      <c r="AT12" s="9" t="s">
        <v>204</v>
      </c>
      <c r="AU12" s="14">
        <v>1.8100000000000002E-2</v>
      </c>
      <c r="AV12" s="20" t="s">
        <v>205</v>
      </c>
      <c r="AW12" s="23" t="s">
        <v>206</v>
      </c>
      <c r="AX12" s="22">
        <v>1.9199999999999998E-2</v>
      </c>
      <c r="AY12" s="18" t="s">
        <v>205</v>
      </c>
      <c r="AZ12" s="24" t="s">
        <v>206</v>
      </c>
      <c r="BA12" s="14">
        <v>1.7100000000000001E-2</v>
      </c>
      <c r="BB12" s="15" t="s">
        <v>207</v>
      </c>
      <c r="BC12" s="15" t="s">
        <v>208</v>
      </c>
      <c r="BD12" s="21">
        <v>1.7600000000000001E-2</v>
      </c>
      <c r="BE12" s="5" t="s">
        <v>209</v>
      </c>
      <c r="BF12" s="5" t="s">
        <v>210</v>
      </c>
      <c r="BG12" s="16">
        <v>8.0000000000000002E-3</v>
      </c>
      <c r="BH12" s="1"/>
      <c r="BI12" s="1"/>
      <c r="BJ12" s="1"/>
      <c r="BK12" s="1"/>
      <c r="BL12" s="1"/>
      <c r="BM12" s="1"/>
      <c r="BN12" s="1"/>
      <c r="BO12" s="1"/>
    </row>
    <row r="13" spans="1:67" x14ac:dyDescent="0.2">
      <c r="A13" s="5" t="s">
        <v>176</v>
      </c>
      <c r="B13" s="5" t="s">
        <v>177</v>
      </c>
      <c r="C13" s="14">
        <v>3.2000000000000002E-3</v>
      </c>
      <c r="D13" s="12" t="s">
        <v>180</v>
      </c>
      <c r="E13" s="12" t="s">
        <v>181</v>
      </c>
      <c r="F13" s="3">
        <v>3.5999999999999999E-3</v>
      </c>
      <c r="G13" s="12" t="s">
        <v>180</v>
      </c>
      <c r="H13" s="5" t="s">
        <v>181</v>
      </c>
      <c r="I13" s="14">
        <v>3.2000000000000002E-3</v>
      </c>
      <c r="J13" s="12" t="s">
        <v>193</v>
      </c>
      <c r="K13" s="5" t="s">
        <v>194</v>
      </c>
      <c r="L13" s="3">
        <v>3.0000000000000001E-3</v>
      </c>
      <c r="M13" s="10" t="s">
        <v>211</v>
      </c>
      <c r="N13" s="9" t="s">
        <v>212</v>
      </c>
      <c r="O13" s="3">
        <v>3.0000000000000001E-3</v>
      </c>
      <c r="P13" s="9" t="s">
        <v>213</v>
      </c>
      <c r="Q13" s="9" t="s">
        <v>214</v>
      </c>
      <c r="R13" s="3">
        <v>5.0000000000000001E-3</v>
      </c>
      <c r="S13" s="15" t="s">
        <v>215</v>
      </c>
      <c r="T13" s="9" t="s">
        <v>216</v>
      </c>
      <c r="U13" s="3">
        <v>1.5E-3</v>
      </c>
      <c r="V13" s="13" t="s">
        <v>104</v>
      </c>
      <c r="W13" s="11" t="s">
        <v>105</v>
      </c>
      <c r="X13" s="14">
        <v>1.54E-2</v>
      </c>
      <c r="Y13" s="13" t="s">
        <v>106</v>
      </c>
      <c r="Z13" s="11" t="s">
        <v>107</v>
      </c>
      <c r="AA13" s="3">
        <v>1.34E-2</v>
      </c>
      <c r="AB13" s="13" t="s">
        <v>108</v>
      </c>
      <c r="AC13" s="11" t="s">
        <v>109</v>
      </c>
      <c r="AD13" s="3">
        <v>1.34E-2</v>
      </c>
      <c r="AE13" s="13" t="s">
        <v>110</v>
      </c>
      <c r="AF13" s="11" t="s">
        <v>111</v>
      </c>
      <c r="AG13" s="3">
        <v>1.44E-2</v>
      </c>
      <c r="AH13" s="13" t="s">
        <v>167</v>
      </c>
      <c r="AI13" s="23" t="s">
        <v>168</v>
      </c>
      <c r="AJ13" s="3">
        <v>1.4200000000000001E-2</v>
      </c>
      <c r="AK13" s="13" t="s">
        <v>217</v>
      </c>
      <c r="AL13" s="11" t="s">
        <v>112</v>
      </c>
      <c r="AM13" s="14">
        <v>9.7999999999999997E-3</v>
      </c>
      <c r="AN13" s="20" t="s">
        <v>218</v>
      </c>
      <c r="AO13" s="14">
        <v>2.18E-2</v>
      </c>
      <c r="AP13" s="15" t="s">
        <v>219</v>
      </c>
      <c r="AQ13" s="17" t="s">
        <v>220</v>
      </c>
      <c r="AR13" s="14">
        <v>1.4500000000000001E-2</v>
      </c>
      <c r="AS13" s="19" t="s">
        <v>221</v>
      </c>
      <c r="AT13" s="18" t="s">
        <v>222</v>
      </c>
      <c r="AU13" s="14">
        <v>1.8100000000000002E-2</v>
      </c>
      <c r="AV13" s="20" t="s">
        <v>223</v>
      </c>
      <c r="AW13" s="23" t="s">
        <v>224</v>
      </c>
      <c r="AX13" s="22">
        <v>1.9199999999999998E-2</v>
      </c>
      <c r="AY13" s="18" t="s">
        <v>223</v>
      </c>
      <c r="AZ13" s="24" t="s">
        <v>224</v>
      </c>
      <c r="BA13" s="14">
        <v>1.7100000000000001E-2</v>
      </c>
      <c r="BB13" s="19" t="s">
        <v>225</v>
      </c>
      <c r="BC13" s="19" t="s">
        <v>226</v>
      </c>
      <c r="BD13" s="21">
        <v>1.7600000000000001E-2</v>
      </c>
      <c r="BE13" s="5" t="s">
        <v>227</v>
      </c>
      <c r="BF13" s="5" t="s">
        <v>228</v>
      </c>
      <c r="BG13" s="16">
        <v>8.0000000000000002E-3</v>
      </c>
      <c r="BH13" s="1"/>
      <c r="BI13" s="1"/>
      <c r="BJ13" s="1"/>
      <c r="BK13" s="1"/>
      <c r="BL13" s="1"/>
      <c r="BM13" s="1"/>
      <c r="BN13" s="1"/>
      <c r="BO13" s="1"/>
    </row>
    <row r="14" spans="1:67" x14ac:dyDescent="0.2">
      <c r="A14" s="5" t="s">
        <v>193</v>
      </c>
      <c r="B14" s="5" t="s">
        <v>194</v>
      </c>
      <c r="C14" s="14">
        <v>3.2000000000000002E-3</v>
      </c>
      <c r="D14" s="15" t="s">
        <v>229</v>
      </c>
      <c r="E14" s="15" t="s">
        <v>230</v>
      </c>
      <c r="F14" s="25">
        <v>2.7000000000000001E-3</v>
      </c>
      <c r="G14" s="12" t="s">
        <v>176</v>
      </c>
      <c r="H14" s="5" t="s">
        <v>177</v>
      </c>
      <c r="I14" s="14">
        <v>3.2000000000000002E-3</v>
      </c>
      <c r="J14" s="12" t="s">
        <v>213</v>
      </c>
      <c r="K14" s="5" t="s">
        <v>214</v>
      </c>
      <c r="L14" s="3">
        <v>4.0000000000000001E-3</v>
      </c>
      <c r="M14" s="26" t="s">
        <v>213</v>
      </c>
      <c r="N14" s="5" t="s">
        <v>214</v>
      </c>
      <c r="O14" s="3">
        <v>4.0000000000000001E-3</v>
      </c>
      <c r="P14" s="9" t="s">
        <v>231</v>
      </c>
      <c r="Q14" s="9" t="s">
        <v>232</v>
      </c>
      <c r="R14" s="3">
        <v>5.0000000000000001E-3</v>
      </c>
      <c r="S14" s="15" t="s">
        <v>233</v>
      </c>
      <c r="T14" s="9" t="s">
        <v>234</v>
      </c>
      <c r="U14" s="3">
        <v>1.5E-3</v>
      </c>
      <c r="V14" s="13" t="s">
        <v>127</v>
      </c>
      <c r="W14" s="11" t="s">
        <v>128</v>
      </c>
      <c r="X14" s="14">
        <v>5.3499999999999999E-2</v>
      </c>
      <c r="Y14" s="13" t="s">
        <v>129</v>
      </c>
      <c r="Z14" s="11" t="s">
        <v>130</v>
      </c>
      <c r="AA14" s="3">
        <v>3.4299999999999997E-2</v>
      </c>
      <c r="AB14" s="13" t="s">
        <v>131</v>
      </c>
      <c r="AC14" s="11" t="s">
        <v>132</v>
      </c>
      <c r="AD14" s="3">
        <v>3.4299999999999997E-2</v>
      </c>
      <c r="AE14" s="13" t="s">
        <v>133</v>
      </c>
      <c r="AF14" s="11" t="s">
        <v>134</v>
      </c>
      <c r="AG14" s="3">
        <v>3.0700000000000002E-2</v>
      </c>
      <c r="AH14" s="13" t="s">
        <v>184</v>
      </c>
      <c r="AI14" s="23" t="s">
        <v>185</v>
      </c>
      <c r="AJ14" s="3">
        <v>3.0300000000000001E-2</v>
      </c>
      <c r="AK14" s="13" t="s">
        <v>235</v>
      </c>
      <c r="AL14" s="11" t="s">
        <v>135</v>
      </c>
      <c r="AM14" s="30">
        <v>3.9100000000000003E-2</v>
      </c>
      <c r="AN14" s="20" t="s">
        <v>236</v>
      </c>
      <c r="AO14" s="30">
        <v>5.2299999999999999E-2</v>
      </c>
      <c r="AP14" s="15" t="s">
        <v>237</v>
      </c>
      <c r="AQ14" s="17" t="s">
        <v>238</v>
      </c>
      <c r="AR14" s="14">
        <v>1.4500000000000001E-2</v>
      </c>
      <c r="AS14" s="15" t="s">
        <v>239</v>
      </c>
      <c r="AT14" s="9" t="s">
        <v>240</v>
      </c>
      <c r="AU14" s="14">
        <v>1.8100000000000002E-2</v>
      </c>
      <c r="AV14" s="27" t="s">
        <v>241</v>
      </c>
      <c r="AW14" s="24" t="s">
        <v>242</v>
      </c>
      <c r="AX14" s="22">
        <v>1.9199999999999998E-2</v>
      </c>
      <c r="AY14" s="9" t="s">
        <v>243</v>
      </c>
      <c r="AZ14" s="17" t="s">
        <v>244</v>
      </c>
      <c r="BA14" s="14">
        <v>1.7100000000000001E-2</v>
      </c>
      <c r="BB14" s="19" t="s">
        <v>245</v>
      </c>
      <c r="BC14" s="19" t="s">
        <v>246</v>
      </c>
      <c r="BD14" s="21">
        <v>1.7600000000000001E-2</v>
      </c>
      <c r="BE14" s="5" t="s">
        <v>247</v>
      </c>
      <c r="BF14" s="5" t="s">
        <v>248</v>
      </c>
      <c r="BG14" s="16">
        <v>8.0000000000000002E-3</v>
      </c>
      <c r="BH14" s="1"/>
      <c r="BI14" s="1"/>
      <c r="BJ14" s="1"/>
      <c r="BK14" s="1"/>
      <c r="BL14" s="1"/>
      <c r="BM14" s="1"/>
      <c r="BN14" s="1"/>
      <c r="BO14" s="1"/>
    </row>
    <row r="15" spans="1:67" x14ac:dyDescent="0.2">
      <c r="A15" s="9" t="s">
        <v>249</v>
      </c>
      <c r="B15" s="9" t="s">
        <v>250</v>
      </c>
      <c r="C15" s="14">
        <v>2.3999999999999998E-3</v>
      </c>
      <c r="D15" s="15" t="s">
        <v>251</v>
      </c>
      <c r="E15" s="15" t="s">
        <v>252</v>
      </c>
      <c r="F15" s="25">
        <v>6.8999999999999999E-3</v>
      </c>
      <c r="G15" s="12" t="s">
        <v>193</v>
      </c>
      <c r="H15" s="5" t="s">
        <v>194</v>
      </c>
      <c r="I15" s="14">
        <v>3.2000000000000002E-3</v>
      </c>
      <c r="J15" s="12" t="s">
        <v>231</v>
      </c>
      <c r="K15" s="5" t="s">
        <v>232</v>
      </c>
      <c r="L15" s="3">
        <v>4.0000000000000001E-3</v>
      </c>
      <c r="M15" s="26" t="s">
        <v>231</v>
      </c>
      <c r="N15" s="5" t="s">
        <v>232</v>
      </c>
      <c r="O15" s="3">
        <v>4.0000000000000001E-3</v>
      </c>
      <c r="P15" s="9" t="s">
        <v>253</v>
      </c>
      <c r="Q15" s="9" t="s">
        <v>254</v>
      </c>
      <c r="R15" s="3">
        <v>5.0000000000000001E-3</v>
      </c>
      <c r="S15" s="12" t="s">
        <v>255</v>
      </c>
      <c r="T15" s="5" t="s">
        <v>256</v>
      </c>
      <c r="U15" s="3">
        <v>3.2000000000000002E-3</v>
      </c>
      <c r="V15" s="13" t="s">
        <v>79</v>
      </c>
      <c r="W15" s="11" t="s">
        <v>80</v>
      </c>
      <c r="X15" s="14">
        <v>9.4999999999999998E-3</v>
      </c>
      <c r="Y15" s="13" t="s">
        <v>81</v>
      </c>
      <c r="Z15" s="11" t="s">
        <v>82</v>
      </c>
      <c r="AA15" s="3">
        <v>5.8999999999999999E-3</v>
      </c>
      <c r="AB15" s="13" t="s">
        <v>83</v>
      </c>
      <c r="AC15" s="11" t="s">
        <v>84</v>
      </c>
      <c r="AD15" s="3">
        <v>5.8999999999999999E-3</v>
      </c>
      <c r="AE15" s="13" t="s">
        <v>150</v>
      </c>
      <c r="AF15" s="11" t="s">
        <v>151</v>
      </c>
      <c r="AG15" s="3">
        <v>5.5999999999999999E-3</v>
      </c>
      <c r="AH15" s="13" t="s">
        <v>199</v>
      </c>
      <c r="AI15" s="23" t="s">
        <v>85</v>
      </c>
      <c r="AJ15" s="3">
        <v>5.4999999999999997E-3</v>
      </c>
      <c r="AK15" s="13" t="s">
        <v>257</v>
      </c>
      <c r="AL15" s="11" t="s">
        <v>258</v>
      </c>
      <c r="AM15" s="14">
        <v>7.3000000000000001E-3</v>
      </c>
      <c r="AN15" s="20" t="s">
        <v>258</v>
      </c>
      <c r="AO15" s="14">
        <v>1.6299999999999999E-2</v>
      </c>
      <c r="AP15" s="12" t="s">
        <v>203</v>
      </c>
      <c r="AQ15" s="4" t="s">
        <v>259</v>
      </c>
      <c r="AR15" s="14">
        <v>1.4500000000000001E-2</v>
      </c>
      <c r="AS15" s="13" t="s">
        <v>241</v>
      </c>
      <c r="AT15" s="11" t="s">
        <v>242</v>
      </c>
      <c r="AU15" s="14">
        <v>1.8100000000000002E-2</v>
      </c>
      <c r="AV15" s="27" t="s">
        <v>260</v>
      </c>
      <c r="AW15" s="24" t="s">
        <v>261</v>
      </c>
      <c r="AX15" s="22">
        <v>1.9199999999999998E-2</v>
      </c>
      <c r="AY15" s="9" t="s">
        <v>262</v>
      </c>
      <c r="AZ15" s="17" t="s">
        <v>263</v>
      </c>
      <c r="BA15" s="14">
        <v>1.7100000000000001E-2</v>
      </c>
      <c r="BB15" s="12" t="s">
        <v>209</v>
      </c>
      <c r="BC15" s="12" t="s">
        <v>264</v>
      </c>
      <c r="BD15" s="21">
        <v>1.7600000000000001E-2</v>
      </c>
      <c r="BE15" s="5" t="s">
        <v>265</v>
      </c>
      <c r="BF15" s="5" t="s">
        <v>266</v>
      </c>
      <c r="BG15" s="16">
        <v>8.0000000000000002E-3</v>
      </c>
      <c r="BH15" s="1"/>
      <c r="BI15" s="1"/>
      <c r="BJ15" s="1"/>
      <c r="BK15" s="1"/>
      <c r="BL15" s="1"/>
      <c r="BM15" s="1"/>
      <c r="BN15" s="1"/>
      <c r="BO15" s="1"/>
    </row>
    <row r="16" spans="1:67" x14ac:dyDescent="0.2">
      <c r="A16" s="9" t="s">
        <v>267</v>
      </c>
      <c r="B16" s="9" t="s">
        <v>268</v>
      </c>
      <c r="C16" s="14">
        <v>6.1999999999999998E-3</v>
      </c>
      <c r="D16" s="15" t="s">
        <v>269</v>
      </c>
      <c r="E16" s="15" t="s">
        <v>270</v>
      </c>
      <c r="F16" s="25">
        <v>3.3300000000000003E-2</v>
      </c>
      <c r="G16" s="29" t="s">
        <v>271</v>
      </c>
      <c r="H16" s="28" t="s">
        <v>272</v>
      </c>
      <c r="I16" s="14">
        <v>2.3999999999999998E-3</v>
      </c>
      <c r="J16" s="12" t="s">
        <v>253</v>
      </c>
      <c r="K16" s="5" t="s">
        <v>254</v>
      </c>
      <c r="L16" s="3">
        <v>4.0000000000000001E-3</v>
      </c>
      <c r="M16" s="26" t="s">
        <v>253</v>
      </c>
      <c r="N16" s="5" t="s">
        <v>254</v>
      </c>
      <c r="O16" s="3">
        <v>4.0000000000000001E-3</v>
      </c>
      <c r="P16" s="5" t="s">
        <v>197</v>
      </c>
      <c r="Q16" s="5" t="s">
        <v>198</v>
      </c>
      <c r="R16" s="3">
        <v>4.7999999999999996E-3</v>
      </c>
      <c r="S16" s="12" t="s">
        <v>273</v>
      </c>
      <c r="T16" s="5" t="s">
        <v>274</v>
      </c>
      <c r="U16" s="3">
        <v>3.2000000000000002E-3</v>
      </c>
      <c r="V16" s="13" t="s">
        <v>106</v>
      </c>
      <c r="W16" s="11" t="s">
        <v>107</v>
      </c>
      <c r="X16" s="14">
        <v>1.54E-2</v>
      </c>
      <c r="Y16" s="13" t="s">
        <v>108</v>
      </c>
      <c r="Z16" s="11" t="s">
        <v>109</v>
      </c>
      <c r="AA16" s="3">
        <v>1.34E-2</v>
      </c>
      <c r="AB16" s="13" t="s">
        <v>110</v>
      </c>
      <c r="AC16" s="11" t="s">
        <v>111</v>
      </c>
      <c r="AD16" s="3">
        <v>1.34E-2</v>
      </c>
      <c r="AE16" s="13" t="s">
        <v>167</v>
      </c>
      <c r="AF16" s="11" t="s">
        <v>168</v>
      </c>
      <c r="AG16" s="3">
        <v>1.44E-2</v>
      </c>
      <c r="AH16" s="13" t="s">
        <v>217</v>
      </c>
      <c r="AI16" s="23" t="s">
        <v>112</v>
      </c>
      <c r="AJ16" s="3">
        <v>1.4200000000000001E-2</v>
      </c>
      <c r="AK16" s="13" t="s">
        <v>275</v>
      </c>
      <c r="AL16" s="11" t="s">
        <v>276</v>
      </c>
      <c r="AM16" s="14">
        <v>1.47E-2</v>
      </c>
      <c r="AN16" s="20" t="s">
        <v>276</v>
      </c>
      <c r="AO16" s="14">
        <v>3.27E-2</v>
      </c>
      <c r="AP16" s="13" t="s">
        <v>221</v>
      </c>
      <c r="AQ16" s="23" t="s">
        <v>277</v>
      </c>
      <c r="AR16" s="14">
        <v>1.4500000000000001E-2</v>
      </c>
      <c r="AS16" s="13" t="s">
        <v>260</v>
      </c>
      <c r="AT16" s="11" t="s">
        <v>261</v>
      </c>
      <c r="AU16" s="14">
        <v>1.8100000000000002E-2</v>
      </c>
      <c r="AV16" s="26" t="s">
        <v>243</v>
      </c>
      <c r="AW16" s="4" t="s">
        <v>244</v>
      </c>
      <c r="AX16" s="22">
        <v>1.9199999999999998E-2</v>
      </c>
      <c r="AY16" s="9" t="s">
        <v>278</v>
      </c>
      <c r="AZ16" s="17" t="s">
        <v>279</v>
      </c>
      <c r="BA16" s="14">
        <v>1.7100000000000001E-2</v>
      </c>
      <c r="BB16" s="12" t="s">
        <v>227</v>
      </c>
      <c r="BC16" s="12" t="s">
        <v>280</v>
      </c>
      <c r="BD16" s="21">
        <v>1.7600000000000001E-2</v>
      </c>
      <c r="BE16" s="5" t="s">
        <v>281</v>
      </c>
      <c r="BF16" s="5" t="s">
        <v>282</v>
      </c>
      <c r="BG16" s="16">
        <v>8.0000000000000002E-3</v>
      </c>
      <c r="BH16" s="1"/>
      <c r="BI16" s="1"/>
      <c r="BJ16" s="1"/>
      <c r="BK16" s="1"/>
      <c r="BL16" s="1"/>
      <c r="BM16" s="1"/>
      <c r="BN16" s="1"/>
      <c r="BO16" s="1"/>
    </row>
    <row r="17" spans="1:67" x14ac:dyDescent="0.2">
      <c r="A17" s="9" t="s">
        <v>283</v>
      </c>
      <c r="B17" s="9" t="s">
        <v>284</v>
      </c>
      <c r="C17" s="14">
        <v>2.9899999999999999E-2</v>
      </c>
      <c r="D17" s="31" t="s">
        <v>271</v>
      </c>
      <c r="E17" s="31" t="s">
        <v>272</v>
      </c>
      <c r="F17" s="32">
        <v>2.8E-3</v>
      </c>
      <c r="G17" s="29" t="s">
        <v>285</v>
      </c>
      <c r="H17" s="28" t="s">
        <v>286</v>
      </c>
      <c r="I17" s="14">
        <v>6.1999999999999998E-3</v>
      </c>
      <c r="J17" s="29" t="s">
        <v>287</v>
      </c>
      <c r="K17" s="28" t="s">
        <v>288</v>
      </c>
      <c r="L17" s="3">
        <v>4.1999999999999997E-3</v>
      </c>
      <c r="M17" s="10" t="s">
        <v>289</v>
      </c>
      <c r="N17" s="9" t="s">
        <v>290</v>
      </c>
      <c r="O17" s="3">
        <v>4.1999999999999997E-3</v>
      </c>
      <c r="P17" s="5" t="s">
        <v>215</v>
      </c>
      <c r="Q17" s="5" t="s">
        <v>216</v>
      </c>
      <c r="R17" s="3">
        <v>4.7999999999999996E-3</v>
      </c>
      <c r="S17" s="12" t="s">
        <v>291</v>
      </c>
      <c r="T17" s="5" t="s">
        <v>292</v>
      </c>
      <c r="U17" s="3">
        <v>3.2000000000000002E-3</v>
      </c>
      <c r="V17" s="13" t="s">
        <v>129</v>
      </c>
      <c r="W17" s="11" t="s">
        <v>130</v>
      </c>
      <c r="X17" s="14">
        <v>5.3499999999999999E-2</v>
      </c>
      <c r="Y17" s="13" t="s">
        <v>131</v>
      </c>
      <c r="Z17" s="11" t="s">
        <v>132</v>
      </c>
      <c r="AA17" s="3">
        <v>3.4299999999999997E-2</v>
      </c>
      <c r="AB17" s="13" t="s">
        <v>133</v>
      </c>
      <c r="AC17" s="11" t="s">
        <v>134</v>
      </c>
      <c r="AD17" s="3">
        <v>3.4299999999999997E-2</v>
      </c>
      <c r="AE17" s="13" t="s">
        <v>184</v>
      </c>
      <c r="AF17" s="11" t="s">
        <v>185</v>
      </c>
      <c r="AG17" s="3">
        <v>3.0700000000000002E-2</v>
      </c>
      <c r="AH17" s="53" t="s">
        <v>235</v>
      </c>
      <c r="AI17" s="54" t="s">
        <v>135</v>
      </c>
      <c r="AJ17" s="3">
        <v>3.0300000000000001E-2</v>
      </c>
      <c r="AK17" s="13" t="s">
        <v>293</v>
      </c>
      <c r="AL17" s="11" t="s">
        <v>294</v>
      </c>
      <c r="AM17" s="14">
        <v>4.1000000000000002E-2</v>
      </c>
      <c r="AN17" s="20" t="s">
        <v>294</v>
      </c>
      <c r="AO17" s="14">
        <v>6.54E-2</v>
      </c>
      <c r="AP17" s="19" t="s">
        <v>295</v>
      </c>
      <c r="AQ17" s="24" t="s">
        <v>296</v>
      </c>
      <c r="AR17" s="14">
        <v>1.4500000000000001E-2</v>
      </c>
      <c r="AS17" s="12" t="s">
        <v>243</v>
      </c>
      <c r="AT17" s="5" t="s">
        <v>244</v>
      </c>
      <c r="AU17" s="14">
        <v>1.8100000000000002E-2</v>
      </c>
      <c r="AV17" s="26" t="s">
        <v>262</v>
      </c>
      <c r="AW17" s="4" t="s">
        <v>263</v>
      </c>
      <c r="AX17" s="22">
        <v>1.9199999999999998E-2</v>
      </c>
      <c r="AY17" s="5" t="s">
        <v>207</v>
      </c>
      <c r="AZ17" s="4" t="s">
        <v>208</v>
      </c>
      <c r="BA17" s="14">
        <v>1.7100000000000001E-2</v>
      </c>
      <c r="BB17" s="12" t="s">
        <v>247</v>
      </c>
      <c r="BC17" s="12" t="s">
        <v>297</v>
      </c>
      <c r="BD17" s="21">
        <v>1.7600000000000001E-2</v>
      </c>
      <c r="BE17" s="50" t="s">
        <v>298</v>
      </c>
      <c r="BF17" s="50" t="s">
        <v>299</v>
      </c>
      <c r="BG17" s="16">
        <v>2.01E-2</v>
      </c>
      <c r="BH17" s="1"/>
      <c r="BI17" s="1"/>
      <c r="BJ17" s="1"/>
      <c r="BK17" s="1"/>
      <c r="BL17" s="1"/>
      <c r="BM17" s="1"/>
      <c r="BN17" s="1"/>
      <c r="BO17" s="1"/>
    </row>
    <row r="18" spans="1:67" x14ac:dyDescent="0.2">
      <c r="A18" s="5" t="s">
        <v>229</v>
      </c>
      <c r="B18" s="5" t="s">
        <v>230</v>
      </c>
      <c r="C18" s="14">
        <v>2.5000000000000001E-3</v>
      </c>
      <c r="D18" s="31" t="s">
        <v>285</v>
      </c>
      <c r="E18" s="31" t="s">
        <v>286</v>
      </c>
      <c r="F18" s="32">
        <v>1.8499999999999999E-2</v>
      </c>
      <c r="G18" s="29" t="s">
        <v>300</v>
      </c>
      <c r="H18" s="28" t="s">
        <v>301</v>
      </c>
      <c r="I18" s="14">
        <v>2.98E-2</v>
      </c>
      <c r="J18" s="29" t="s">
        <v>302</v>
      </c>
      <c r="K18" s="28" t="s">
        <v>303</v>
      </c>
      <c r="L18" s="3">
        <v>9.4999999999999998E-3</v>
      </c>
      <c r="M18" s="10" t="s">
        <v>304</v>
      </c>
      <c r="N18" s="9" t="s">
        <v>305</v>
      </c>
      <c r="O18" s="3">
        <v>9.4999999999999998E-3</v>
      </c>
      <c r="P18" s="5" t="s">
        <v>233</v>
      </c>
      <c r="Q18" s="5" t="s">
        <v>234</v>
      </c>
      <c r="R18" s="3">
        <v>4.7999999999999996E-3</v>
      </c>
      <c r="S18" s="12" t="s">
        <v>306</v>
      </c>
      <c r="T18" s="5" t="s">
        <v>307</v>
      </c>
      <c r="U18" s="3">
        <v>3.2000000000000002E-3</v>
      </c>
      <c r="V18" s="43" t="s">
        <v>98</v>
      </c>
      <c r="W18" s="44" t="s">
        <v>99</v>
      </c>
      <c r="X18" s="14">
        <v>2.0400000000000001E-2</v>
      </c>
      <c r="Y18" s="15" t="s">
        <v>148</v>
      </c>
      <c r="Z18" s="9" t="s">
        <v>149</v>
      </c>
      <c r="AA18" s="3">
        <v>1.4500000000000001E-2</v>
      </c>
      <c r="AB18" s="15" t="s">
        <v>308</v>
      </c>
      <c r="AC18" s="9" t="s">
        <v>309</v>
      </c>
      <c r="AD18" s="3">
        <v>1.4500000000000001E-2</v>
      </c>
      <c r="AE18" s="15" t="s">
        <v>182</v>
      </c>
      <c r="AF18" s="9" t="s">
        <v>183</v>
      </c>
      <c r="AG18" s="3">
        <v>1.2699999999999999E-2</v>
      </c>
      <c r="AH18" s="15" t="s">
        <v>310</v>
      </c>
      <c r="AI18" s="9" t="s">
        <v>311</v>
      </c>
      <c r="AJ18" s="55">
        <v>1.2500000000000001E-2</v>
      </c>
      <c r="AK18" s="15" t="s">
        <v>312</v>
      </c>
      <c r="AL18" s="9" t="s">
        <v>313</v>
      </c>
      <c r="AM18" s="14">
        <v>2.1100000000000001E-2</v>
      </c>
      <c r="AN18" s="10" t="s">
        <v>314</v>
      </c>
      <c r="AO18" s="14">
        <v>3.1399999999999997E-2</v>
      </c>
      <c r="AP18" s="19" t="s">
        <v>315</v>
      </c>
      <c r="AQ18" s="24" t="s">
        <v>152</v>
      </c>
      <c r="AR18" s="14">
        <v>7.3000000000000001E-3</v>
      </c>
      <c r="AS18" s="12" t="s">
        <v>262</v>
      </c>
      <c r="AT18" s="5" t="s">
        <v>263</v>
      </c>
      <c r="AU18" s="14">
        <v>1.8100000000000002E-2</v>
      </c>
      <c r="AV18" s="26" t="s">
        <v>278</v>
      </c>
      <c r="AW18" s="4" t="s">
        <v>279</v>
      </c>
      <c r="AX18" s="22">
        <v>1.9199999999999998E-2</v>
      </c>
      <c r="AY18" s="11" t="s">
        <v>225</v>
      </c>
      <c r="AZ18" s="23" t="s">
        <v>226</v>
      </c>
      <c r="BA18" s="14">
        <v>1.7100000000000001E-2</v>
      </c>
      <c r="BB18" s="15" t="s">
        <v>316</v>
      </c>
      <c r="BC18" s="15" t="s">
        <v>317</v>
      </c>
      <c r="BD18" s="21">
        <v>8.8000000000000005E-3</v>
      </c>
      <c r="BE18" s="50" t="s">
        <v>318</v>
      </c>
      <c r="BF18" s="50" t="s">
        <v>319</v>
      </c>
      <c r="BG18" s="16">
        <v>2.01E-2</v>
      </c>
      <c r="BH18" s="1"/>
      <c r="BI18" s="1"/>
      <c r="BJ18" s="1"/>
      <c r="BK18" s="1"/>
      <c r="BL18" s="1"/>
      <c r="BM18" s="1"/>
      <c r="BN18" s="1"/>
      <c r="BO18" s="1"/>
    </row>
    <row r="19" spans="1:67" x14ac:dyDescent="0.2">
      <c r="A19" s="5" t="s">
        <v>251</v>
      </c>
      <c r="B19" s="5" t="s">
        <v>252</v>
      </c>
      <c r="C19" s="14">
        <v>1.6500000000000001E-2</v>
      </c>
      <c r="D19" s="31" t="s">
        <v>300</v>
      </c>
      <c r="E19" s="31" t="s">
        <v>301</v>
      </c>
      <c r="F19" s="32">
        <v>7.1800000000000003E-2</v>
      </c>
      <c r="G19" s="12" t="s">
        <v>287</v>
      </c>
      <c r="H19" s="5" t="s">
        <v>288</v>
      </c>
      <c r="I19" s="14">
        <v>2.5000000000000001E-3</v>
      </c>
      <c r="J19" s="29" t="s">
        <v>320</v>
      </c>
      <c r="K19" s="28" t="s">
        <v>321</v>
      </c>
      <c r="L19" s="3">
        <v>3.95E-2</v>
      </c>
      <c r="M19" s="10" t="s">
        <v>322</v>
      </c>
      <c r="N19" s="9" t="s">
        <v>323</v>
      </c>
      <c r="O19" s="3">
        <v>3.95E-2</v>
      </c>
      <c r="P19" s="9" t="s">
        <v>324</v>
      </c>
      <c r="Q19" s="9" t="s">
        <v>325</v>
      </c>
      <c r="R19" s="3">
        <v>7.1000000000000004E-3</v>
      </c>
      <c r="S19" s="15" t="s">
        <v>326</v>
      </c>
      <c r="T19" s="9" t="s">
        <v>327</v>
      </c>
      <c r="U19" s="3">
        <v>7.0000000000000001E-3</v>
      </c>
      <c r="V19" s="43" t="s">
        <v>121</v>
      </c>
      <c r="W19" s="44" t="s">
        <v>122</v>
      </c>
      <c r="X19" s="14">
        <v>2.0400000000000001E-2</v>
      </c>
      <c r="Y19" s="15" t="s">
        <v>165</v>
      </c>
      <c r="Z19" s="9" t="s">
        <v>166</v>
      </c>
      <c r="AA19" s="3">
        <v>1.4500000000000001E-2</v>
      </c>
      <c r="AB19" s="12" t="s">
        <v>182</v>
      </c>
      <c r="AC19" s="5" t="s">
        <v>183</v>
      </c>
      <c r="AD19" s="3">
        <v>1.4500000000000001E-2</v>
      </c>
      <c r="AE19" s="12" t="s">
        <v>310</v>
      </c>
      <c r="AF19" s="5" t="s">
        <v>311</v>
      </c>
      <c r="AG19" s="3">
        <v>1.2699999999999999E-2</v>
      </c>
      <c r="AH19" s="49" t="s">
        <v>328</v>
      </c>
      <c r="AI19" s="48" t="s">
        <v>329</v>
      </c>
      <c r="AJ19" s="3">
        <v>1.2500000000000001E-2</v>
      </c>
      <c r="AK19" s="15" t="s">
        <v>330</v>
      </c>
      <c r="AL19" s="9" t="s">
        <v>331</v>
      </c>
      <c r="AM19" s="14">
        <v>2.1100000000000001E-2</v>
      </c>
      <c r="AN19" s="10" t="s">
        <v>332</v>
      </c>
      <c r="AO19" s="14">
        <v>3.1399999999999997E-2</v>
      </c>
      <c r="AP19" s="19" t="s">
        <v>333</v>
      </c>
      <c r="AQ19" s="24" t="s">
        <v>200</v>
      </c>
      <c r="AR19" s="14">
        <v>7.3000000000000001E-3</v>
      </c>
      <c r="AS19" s="12" t="s">
        <v>278</v>
      </c>
      <c r="AT19" s="5" t="s">
        <v>279</v>
      </c>
      <c r="AU19" s="14">
        <v>1.8100000000000002E-2</v>
      </c>
      <c r="AV19" s="26" t="s">
        <v>207</v>
      </c>
      <c r="AW19" s="4" t="s">
        <v>208</v>
      </c>
      <c r="AX19" s="22">
        <v>1.9199999999999998E-2</v>
      </c>
      <c r="AY19" s="11" t="s">
        <v>245</v>
      </c>
      <c r="AZ19" s="23" t="s">
        <v>246</v>
      </c>
      <c r="BA19" s="14">
        <v>1.7100000000000001E-2</v>
      </c>
      <c r="BB19" s="15" t="s">
        <v>334</v>
      </c>
      <c r="BC19" s="15" t="s">
        <v>335</v>
      </c>
      <c r="BD19" s="21">
        <v>8.8000000000000005E-3</v>
      </c>
      <c r="BE19" s="50" t="s">
        <v>336</v>
      </c>
      <c r="BF19" s="50" t="s">
        <v>337</v>
      </c>
      <c r="BG19" s="16">
        <v>2.01E-2</v>
      </c>
      <c r="BH19" s="1"/>
      <c r="BI19" s="1"/>
      <c r="BJ19" s="1"/>
      <c r="BK19" s="1"/>
      <c r="BL19" s="1"/>
      <c r="BM19" s="1"/>
      <c r="BN19" s="1"/>
      <c r="BO19" s="1"/>
    </row>
    <row r="20" spans="1:67" x14ac:dyDescent="0.2">
      <c r="A20" s="5" t="s">
        <v>269</v>
      </c>
      <c r="B20" s="5" t="s">
        <v>270</v>
      </c>
      <c r="C20" s="14">
        <v>6.4299999999999996E-2</v>
      </c>
      <c r="D20" s="12" t="s">
        <v>289</v>
      </c>
      <c r="E20" s="12" t="s">
        <v>290</v>
      </c>
      <c r="F20" s="3">
        <v>2.8E-3</v>
      </c>
      <c r="G20" s="12" t="s">
        <v>302</v>
      </c>
      <c r="H20" s="5" t="s">
        <v>303</v>
      </c>
      <c r="I20" s="14">
        <v>1.6500000000000001E-2</v>
      </c>
      <c r="J20" s="12" t="s">
        <v>289</v>
      </c>
      <c r="K20" s="5" t="s">
        <v>290</v>
      </c>
      <c r="L20" s="3">
        <v>5.0000000000000001E-3</v>
      </c>
      <c r="M20" s="10" t="s">
        <v>338</v>
      </c>
      <c r="N20" s="9" t="s">
        <v>339</v>
      </c>
      <c r="O20" s="3">
        <v>5.0000000000000001E-3</v>
      </c>
      <c r="P20" s="9" t="s">
        <v>340</v>
      </c>
      <c r="Q20" s="9" t="s">
        <v>341</v>
      </c>
      <c r="R20" s="3">
        <v>1.17E-2</v>
      </c>
      <c r="S20" s="15" t="s">
        <v>342</v>
      </c>
      <c r="T20" s="9" t="s">
        <v>343</v>
      </c>
      <c r="U20" s="3">
        <v>1.2E-2</v>
      </c>
      <c r="V20" s="12" t="s">
        <v>148</v>
      </c>
      <c r="W20" s="5" t="s">
        <v>149</v>
      </c>
      <c r="X20" s="14">
        <v>2.0400000000000001E-2</v>
      </c>
      <c r="Y20" s="12" t="s">
        <v>308</v>
      </c>
      <c r="Z20" s="5" t="s">
        <v>309</v>
      </c>
      <c r="AA20" s="3">
        <v>1.4500000000000001E-2</v>
      </c>
      <c r="AB20" s="12" t="s">
        <v>310</v>
      </c>
      <c r="AC20" s="5" t="s">
        <v>311</v>
      </c>
      <c r="AD20" s="3">
        <v>1.4500000000000001E-2</v>
      </c>
      <c r="AE20" s="12" t="s">
        <v>328</v>
      </c>
      <c r="AF20" s="5" t="s">
        <v>329</v>
      </c>
      <c r="AG20" s="3">
        <v>1.2699999999999999E-2</v>
      </c>
      <c r="AH20" s="12" t="s">
        <v>312</v>
      </c>
      <c r="AI20" s="4" t="s">
        <v>313</v>
      </c>
      <c r="AJ20" s="3">
        <v>1.2500000000000001E-2</v>
      </c>
      <c r="AK20" s="15" t="s">
        <v>344</v>
      </c>
      <c r="AL20" s="9" t="s">
        <v>345</v>
      </c>
      <c r="AM20" s="14">
        <v>2.1100000000000001E-2</v>
      </c>
      <c r="AN20" s="26" t="s">
        <v>202</v>
      </c>
      <c r="AO20" s="14">
        <v>3.1399999999999997E-2</v>
      </c>
      <c r="AP20" s="19" t="s">
        <v>257</v>
      </c>
      <c r="AQ20" s="24" t="s">
        <v>258</v>
      </c>
      <c r="AR20" s="14">
        <v>1.04E-2</v>
      </c>
      <c r="AS20" s="15" t="s">
        <v>346</v>
      </c>
      <c r="AT20" s="9" t="s">
        <v>347</v>
      </c>
      <c r="AU20" s="14">
        <v>3.0000000000000001E-3</v>
      </c>
      <c r="AV20" s="26" t="s">
        <v>316</v>
      </c>
      <c r="AW20" s="4" t="s">
        <v>317</v>
      </c>
      <c r="AX20" s="22">
        <v>3.2000000000000002E-3</v>
      </c>
      <c r="AY20" s="52" t="s">
        <v>316</v>
      </c>
      <c r="AZ20" s="51" t="s">
        <v>317</v>
      </c>
      <c r="BA20" s="14">
        <v>8.6E-3</v>
      </c>
      <c r="BB20" s="15" t="s">
        <v>348</v>
      </c>
      <c r="BC20" s="15" t="s">
        <v>349</v>
      </c>
      <c r="BD20" s="21">
        <v>8.8000000000000005E-3</v>
      </c>
      <c r="BE20" s="50" t="s">
        <v>350</v>
      </c>
      <c r="BF20" s="50" t="s">
        <v>351</v>
      </c>
      <c r="BG20" s="16">
        <v>2.01E-2</v>
      </c>
      <c r="BH20" s="1"/>
      <c r="BI20" s="1"/>
      <c r="BJ20" s="1"/>
      <c r="BK20" s="1"/>
      <c r="BL20" s="1"/>
      <c r="BM20" s="1"/>
      <c r="BN20" s="1"/>
      <c r="BO20" s="1"/>
    </row>
    <row r="21" spans="1:67" x14ac:dyDescent="0.2">
      <c r="A21" s="33" t="s">
        <v>271</v>
      </c>
      <c r="B21" s="33" t="s">
        <v>272</v>
      </c>
      <c r="C21" s="14">
        <v>2.5000000000000001E-3</v>
      </c>
      <c r="D21" s="12" t="s">
        <v>304</v>
      </c>
      <c r="E21" s="12" t="s">
        <v>305</v>
      </c>
      <c r="F21" s="3">
        <v>1.8499999999999999E-2</v>
      </c>
      <c r="G21" s="12" t="s">
        <v>320</v>
      </c>
      <c r="H21" s="5" t="s">
        <v>321</v>
      </c>
      <c r="I21" s="14">
        <v>6.4199999999999993E-2</v>
      </c>
      <c r="J21" s="12" t="s">
        <v>304</v>
      </c>
      <c r="K21" s="5" t="s">
        <v>305</v>
      </c>
      <c r="L21" s="3">
        <v>1.5599999999999999E-2</v>
      </c>
      <c r="M21" s="10" t="s">
        <v>352</v>
      </c>
      <c r="N21" s="9" t="s">
        <v>353</v>
      </c>
      <c r="O21" s="3">
        <v>1.5599999999999999E-2</v>
      </c>
      <c r="P21" s="9" t="s">
        <v>354</v>
      </c>
      <c r="Q21" s="9" t="s">
        <v>355</v>
      </c>
      <c r="R21" s="3">
        <v>4.9799999999999997E-2</v>
      </c>
      <c r="S21" s="15" t="s">
        <v>356</v>
      </c>
      <c r="T21" s="9" t="s">
        <v>357</v>
      </c>
      <c r="U21" s="3">
        <v>5.0999999999999997E-2</v>
      </c>
      <c r="V21" s="12" t="s">
        <v>165</v>
      </c>
      <c r="W21" s="5" t="s">
        <v>166</v>
      </c>
      <c r="X21" s="14">
        <v>2.0400000000000001E-2</v>
      </c>
      <c r="Y21" s="12" t="s">
        <v>182</v>
      </c>
      <c r="Z21" s="5" t="s">
        <v>183</v>
      </c>
      <c r="AA21" s="3">
        <v>1.4500000000000001E-2</v>
      </c>
      <c r="AB21" s="12" t="s">
        <v>328</v>
      </c>
      <c r="AC21" s="5" t="s">
        <v>329</v>
      </c>
      <c r="AD21" s="3">
        <v>1.4500000000000001E-2</v>
      </c>
      <c r="AE21" s="12" t="s">
        <v>312</v>
      </c>
      <c r="AF21" s="5" t="s">
        <v>313</v>
      </c>
      <c r="AG21" s="3">
        <v>1.2699999999999999E-2</v>
      </c>
      <c r="AH21" s="12" t="s">
        <v>330</v>
      </c>
      <c r="AI21" s="4" t="s">
        <v>331</v>
      </c>
      <c r="AJ21" s="3">
        <v>1.2500000000000001E-2</v>
      </c>
      <c r="AK21" s="15" t="s">
        <v>358</v>
      </c>
      <c r="AL21" s="9" t="s">
        <v>359</v>
      </c>
      <c r="AM21" s="14">
        <v>2.1100000000000001E-2</v>
      </c>
      <c r="AN21" s="26" t="s">
        <v>220</v>
      </c>
      <c r="AO21" s="14">
        <v>3.1399999999999997E-2</v>
      </c>
      <c r="AP21" s="13" t="s">
        <v>346</v>
      </c>
      <c r="AQ21" s="23" t="s">
        <v>347</v>
      </c>
      <c r="AR21" s="14">
        <v>1.04E-2</v>
      </c>
      <c r="AS21" s="19" t="s">
        <v>360</v>
      </c>
      <c r="AT21" s="18" t="s">
        <v>361</v>
      </c>
      <c r="AU21" s="14">
        <v>6.0000000000000001E-3</v>
      </c>
      <c r="AV21" s="26" t="s">
        <v>334</v>
      </c>
      <c r="AW21" s="4" t="s">
        <v>335</v>
      </c>
      <c r="AX21" s="22">
        <v>3.2000000000000002E-3</v>
      </c>
      <c r="AY21" s="52" t="s">
        <v>334</v>
      </c>
      <c r="AZ21" s="51" t="s">
        <v>335</v>
      </c>
      <c r="BA21" s="14">
        <v>8.6E-3</v>
      </c>
      <c r="BB21" s="12" t="s">
        <v>298</v>
      </c>
      <c r="BC21" s="12" t="s">
        <v>299</v>
      </c>
      <c r="BD21" s="21">
        <v>8.8000000000000005E-3</v>
      </c>
      <c r="BE21" s="50" t="s">
        <v>362</v>
      </c>
      <c r="BF21" s="50" t="s">
        <v>363</v>
      </c>
      <c r="BG21" s="16">
        <v>2.01E-2</v>
      </c>
      <c r="BH21" s="1"/>
      <c r="BI21" s="1"/>
      <c r="BJ21" s="1"/>
      <c r="BK21" s="1"/>
      <c r="BL21" s="1"/>
      <c r="BM21" s="1"/>
      <c r="BN21" s="1"/>
      <c r="BO21" s="1"/>
    </row>
    <row r="22" spans="1:67" x14ac:dyDescent="0.2">
      <c r="A22" s="33" t="s">
        <v>285</v>
      </c>
      <c r="B22" s="33" t="s">
        <v>286</v>
      </c>
      <c r="C22" s="14">
        <v>1.6500000000000001E-2</v>
      </c>
      <c r="D22" s="12" t="s">
        <v>322</v>
      </c>
      <c r="E22" s="12" t="s">
        <v>323</v>
      </c>
      <c r="F22" s="3">
        <v>7.1800000000000003E-2</v>
      </c>
      <c r="G22" s="12" t="s">
        <v>289</v>
      </c>
      <c r="H22" s="5" t="s">
        <v>290</v>
      </c>
      <c r="I22" s="14">
        <v>2.5000000000000001E-3</v>
      </c>
      <c r="J22" s="12" t="s">
        <v>322</v>
      </c>
      <c r="K22" s="5" t="s">
        <v>323</v>
      </c>
      <c r="L22" s="3">
        <v>5.8599999999999999E-2</v>
      </c>
      <c r="M22" s="10" t="s">
        <v>364</v>
      </c>
      <c r="N22" s="9" t="s">
        <v>365</v>
      </c>
      <c r="O22" s="3">
        <v>5.8599999999999999E-2</v>
      </c>
      <c r="P22" s="5" t="s">
        <v>326</v>
      </c>
      <c r="Q22" s="5" t="s">
        <v>327</v>
      </c>
      <c r="R22" s="3">
        <v>9.2999999999999992E-3</v>
      </c>
      <c r="S22" s="12" t="s">
        <v>73</v>
      </c>
      <c r="T22" s="5" t="s">
        <v>74</v>
      </c>
      <c r="U22" s="3">
        <v>9.4999999999999998E-3</v>
      </c>
      <c r="V22" s="12" t="s">
        <v>308</v>
      </c>
      <c r="W22" s="5" t="s">
        <v>309</v>
      </c>
      <c r="X22" s="14">
        <v>2.0400000000000001E-2</v>
      </c>
      <c r="Y22" s="12" t="s">
        <v>310</v>
      </c>
      <c r="Z22" s="5" t="s">
        <v>311</v>
      </c>
      <c r="AA22" s="3">
        <v>1.4500000000000001E-2</v>
      </c>
      <c r="AB22" s="12" t="s">
        <v>312</v>
      </c>
      <c r="AC22" s="5" t="s">
        <v>313</v>
      </c>
      <c r="AD22" s="3">
        <v>1.4500000000000001E-2</v>
      </c>
      <c r="AE22" s="12" t="s">
        <v>330</v>
      </c>
      <c r="AF22" s="5" t="s">
        <v>331</v>
      </c>
      <c r="AG22" s="3">
        <v>1.2699999999999999E-2</v>
      </c>
      <c r="AH22" s="12" t="s">
        <v>344</v>
      </c>
      <c r="AI22" s="4" t="s">
        <v>345</v>
      </c>
      <c r="AJ22" s="3">
        <v>1.2500000000000001E-2</v>
      </c>
      <c r="AK22" s="12" t="s">
        <v>366</v>
      </c>
      <c r="AL22" s="5" t="s">
        <v>367</v>
      </c>
      <c r="AM22" s="14">
        <v>2.1100000000000001E-2</v>
      </c>
      <c r="AN22" s="26" t="s">
        <v>238</v>
      </c>
      <c r="AO22" s="14">
        <v>3.1399999999999997E-2</v>
      </c>
      <c r="AP22" s="19" t="s">
        <v>368</v>
      </c>
      <c r="AQ22" s="24" t="s">
        <v>169</v>
      </c>
      <c r="AR22" s="14">
        <v>1.4800000000000001E-2</v>
      </c>
      <c r="AS22" s="12" t="s">
        <v>369</v>
      </c>
      <c r="AT22" s="5" t="s">
        <v>370</v>
      </c>
      <c r="AU22" s="14">
        <v>1.21E-2</v>
      </c>
      <c r="AV22" s="26" t="s">
        <v>371</v>
      </c>
      <c r="AW22" s="4" t="s">
        <v>372</v>
      </c>
      <c r="AX22" s="22">
        <v>6.7000000000000002E-3</v>
      </c>
      <c r="AY22" s="9" t="s">
        <v>371</v>
      </c>
      <c r="AZ22" s="17" t="s">
        <v>372</v>
      </c>
      <c r="BA22" s="14">
        <v>6.7999999999999996E-3</v>
      </c>
      <c r="BB22" s="15" t="s">
        <v>373</v>
      </c>
      <c r="BC22" s="15" t="s">
        <v>374</v>
      </c>
      <c r="BD22" s="21">
        <v>8.8000000000000005E-3</v>
      </c>
      <c r="BE22" s="47" t="s">
        <v>375</v>
      </c>
      <c r="BF22" s="47" t="s">
        <v>376</v>
      </c>
      <c r="BG22" s="16">
        <v>1.23E-2</v>
      </c>
      <c r="BH22" s="1"/>
      <c r="BI22" s="1"/>
      <c r="BJ22" s="1"/>
      <c r="BK22" s="1"/>
      <c r="BL22" s="1"/>
      <c r="BM22" s="1"/>
      <c r="BN22" s="1"/>
      <c r="BO22" s="1"/>
    </row>
    <row r="23" spans="1:67" x14ac:dyDescent="0.2">
      <c r="A23" s="33" t="s">
        <v>300</v>
      </c>
      <c r="B23" s="33" t="s">
        <v>301</v>
      </c>
      <c r="C23" s="14">
        <v>6.4299999999999996E-2</v>
      </c>
      <c r="D23" s="12" t="s">
        <v>287</v>
      </c>
      <c r="E23" s="12" t="s">
        <v>288</v>
      </c>
      <c r="F23" s="3">
        <v>2.7099999999999999E-2</v>
      </c>
      <c r="G23" s="12" t="s">
        <v>304</v>
      </c>
      <c r="H23" s="5" t="s">
        <v>305</v>
      </c>
      <c r="I23" s="14">
        <v>1.6500000000000001E-2</v>
      </c>
      <c r="J23" s="12" t="s">
        <v>338</v>
      </c>
      <c r="K23" s="5" t="s">
        <v>339</v>
      </c>
      <c r="L23" s="3">
        <v>4.7999999999999996E-3</v>
      </c>
      <c r="M23" s="26" t="s">
        <v>324</v>
      </c>
      <c r="N23" s="5" t="s">
        <v>325</v>
      </c>
      <c r="O23" s="3">
        <v>4.7999999999999996E-3</v>
      </c>
      <c r="P23" s="5" t="s">
        <v>342</v>
      </c>
      <c r="Q23" s="5" t="s">
        <v>343</v>
      </c>
      <c r="R23" s="3">
        <v>1.5599999999999999E-2</v>
      </c>
      <c r="S23" s="12" t="s">
        <v>100</v>
      </c>
      <c r="T23" s="5" t="s">
        <v>101</v>
      </c>
      <c r="U23" s="3">
        <v>1.6E-2</v>
      </c>
      <c r="V23" s="12" t="s">
        <v>182</v>
      </c>
      <c r="W23" s="5" t="s">
        <v>183</v>
      </c>
      <c r="X23" s="14">
        <v>2.0400000000000001E-2</v>
      </c>
      <c r="Y23" s="12" t="s">
        <v>328</v>
      </c>
      <c r="Z23" s="5" t="s">
        <v>329</v>
      </c>
      <c r="AA23" s="3">
        <v>1.4500000000000001E-2</v>
      </c>
      <c r="AB23" s="12" t="s">
        <v>330</v>
      </c>
      <c r="AC23" s="5" t="s">
        <v>331</v>
      </c>
      <c r="AD23" s="3">
        <v>1.4500000000000001E-2</v>
      </c>
      <c r="AE23" s="12" t="s">
        <v>344</v>
      </c>
      <c r="AF23" s="5" t="s">
        <v>345</v>
      </c>
      <c r="AG23" s="3">
        <v>1.2699999999999999E-2</v>
      </c>
      <c r="AH23" s="12" t="s">
        <v>358</v>
      </c>
      <c r="AI23" s="4" t="s">
        <v>359</v>
      </c>
      <c r="AJ23" s="3">
        <v>1.2500000000000001E-2</v>
      </c>
      <c r="AK23" s="12" t="s">
        <v>377</v>
      </c>
      <c r="AL23" s="5" t="s">
        <v>378</v>
      </c>
      <c r="AM23" s="14">
        <v>2.1100000000000001E-2</v>
      </c>
      <c r="AN23" s="20" t="s">
        <v>296</v>
      </c>
      <c r="AO23" s="14">
        <v>3.1399999999999997E-2</v>
      </c>
      <c r="AP23" s="19" t="s">
        <v>379</v>
      </c>
      <c r="AQ23" s="24" t="s">
        <v>218</v>
      </c>
      <c r="AR23" s="14">
        <v>1.4800000000000001E-2</v>
      </c>
      <c r="AS23" s="12" t="s">
        <v>380</v>
      </c>
      <c r="AT23" s="5" t="s">
        <v>381</v>
      </c>
      <c r="AU23" s="14">
        <v>1.21E-2</v>
      </c>
      <c r="AV23" s="10" t="s">
        <v>369</v>
      </c>
      <c r="AW23" s="17" t="s">
        <v>370</v>
      </c>
      <c r="AX23" s="22">
        <v>6.7000000000000002E-3</v>
      </c>
      <c r="AY23" s="9" t="s">
        <v>380</v>
      </c>
      <c r="AZ23" s="17" t="s">
        <v>381</v>
      </c>
      <c r="BA23" s="14">
        <v>1.03E-2</v>
      </c>
      <c r="BB23" s="19" t="s">
        <v>382</v>
      </c>
      <c r="BC23" s="19" t="s">
        <v>383</v>
      </c>
      <c r="BD23" s="21">
        <v>8.8000000000000005E-3</v>
      </c>
      <c r="BE23" s="47" t="s">
        <v>384</v>
      </c>
      <c r="BF23" s="47" t="s">
        <v>385</v>
      </c>
      <c r="BG23" s="16">
        <v>1.23E-2</v>
      </c>
      <c r="BH23" s="1"/>
      <c r="BI23" s="1"/>
      <c r="BJ23" s="1"/>
      <c r="BK23" s="1"/>
      <c r="BL23" s="1"/>
      <c r="BM23" s="1"/>
      <c r="BN23" s="1"/>
      <c r="BO23" s="1"/>
    </row>
    <row r="24" spans="1:67" x14ac:dyDescent="0.2">
      <c r="A24" s="5" t="s">
        <v>289</v>
      </c>
      <c r="B24" s="5" t="s">
        <v>290</v>
      </c>
      <c r="C24" s="14">
        <v>2.4299999999999999E-2</v>
      </c>
      <c r="D24" s="12" t="s">
        <v>302</v>
      </c>
      <c r="E24" s="12" t="s">
        <v>303</v>
      </c>
      <c r="F24" s="3">
        <v>5.4399999999999997E-2</v>
      </c>
      <c r="G24" s="12" t="s">
        <v>322</v>
      </c>
      <c r="H24" s="5" t="s">
        <v>323</v>
      </c>
      <c r="I24" s="14">
        <v>6.4199999999999993E-2</v>
      </c>
      <c r="J24" s="12" t="s">
        <v>352</v>
      </c>
      <c r="K24" s="5" t="s">
        <v>353</v>
      </c>
      <c r="L24" s="3">
        <v>1.6199999999999999E-2</v>
      </c>
      <c r="M24" s="26" t="s">
        <v>340</v>
      </c>
      <c r="N24" s="5" t="s">
        <v>341</v>
      </c>
      <c r="O24" s="3">
        <v>1.6199999999999999E-2</v>
      </c>
      <c r="P24" s="5" t="s">
        <v>356</v>
      </c>
      <c r="Q24" s="5" t="s">
        <v>357</v>
      </c>
      <c r="R24" s="3">
        <v>5.2400000000000002E-2</v>
      </c>
      <c r="S24" s="12" t="s">
        <v>123</v>
      </c>
      <c r="T24" s="5" t="s">
        <v>124</v>
      </c>
      <c r="U24" s="3">
        <v>5.45E-2</v>
      </c>
      <c r="V24" s="12" t="s">
        <v>273</v>
      </c>
      <c r="W24" s="5" t="s">
        <v>274</v>
      </c>
      <c r="X24" s="45">
        <v>2.8999999999999998E-3</v>
      </c>
      <c r="Y24" s="15" t="s">
        <v>273</v>
      </c>
      <c r="Z24" s="9" t="s">
        <v>274</v>
      </c>
      <c r="AA24" s="3">
        <v>3.0000000000000001E-3</v>
      </c>
      <c r="AB24" s="15" t="s">
        <v>255</v>
      </c>
      <c r="AC24" s="9" t="s">
        <v>256</v>
      </c>
      <c r="AD24" s="3">
        <v>3.0000000000000001E-3</v>
      </c>
      <c r="AE24" s="12" t="s">
        <v>358</v>
      </c>
      <c r="AF24" s="5" t="s">
        <v>359</v>
      </c>
      <c r="AG24" s="3">
        <v>1.2699999999999999E-2</v>
      </c>
      <c r="AH24" s="12" t="s">
        <v>366</v>
      </c>
      <c r="AI24" s="4" t="s">
        <v>367</v>
      </c>
      <c r="AJ24" s="3">
        <v>1.2500000000000001E-2</v>
      </c>
      <c r="AK24" s="12" t="s">
        <v>386</v>
      </c>
      <c r="AL24" s="5" t="s">
        <v>387</v>
      </c>
      <c r="AM24" s="14">
        <v>2.1100000000000001E-2</v>
      </c>
      <c r="AN24" s="10" t="s">
        <v>388</v>
      </c>
      <c r="AO24" s="14">
        <v>2.5000000000000001E-3</v>
      </c>
      <c r="AP24" s="19" t="s">
        <v>275</v>
      </c>
      <c r="AQ24" s="24" t="s">
        <v>276</v>
      </c>
      <c r="AR24" s="14">
        <v>1.8499999999999999E-2</v>
      </c>
      <c r="AS24" s="19" t="s">
        <v>389</v>
      </c>
      <c r="AT24" s="18" t="s">
        <v>390</v>
      </c>
      <c r="AU24" s="14">
        <v>8.9999999999999993E-3</v>
      </c>
      <c r="AV24" s="26" t="s">
        <v>380</v>
      </c>
      <c r="AW24" s="4" t="s">
        <v>381</v>
      </c>
      <c r="AX24" s="22">
        <v>9.5999999999999992E-3</v>
      </c>
      <c r="AY24" s="11" t="s">
        <v>382</v>
      </c>
      <c r="AZ24" s="23" t="s">
        <v>383</v>
      </c>
      <c r="BA24" s="14">
        <v>1.03E-2</v>
      </c>
      <c r="BB24" s="13" t="s">
        <v>375</v>
      </c>
      <c r="BC24" s="13" t="s">
        <v>391</v>
      </c>
      <c r="BD24" s="21">
        <v>1.06E-2</v>
      </c>
      <c r="BE24" s="47" t="s">
        <v>392</v>
      </c>
      <c r="BF24" s="47" t="s">
        <v>393</v>
      </c>
      <c r="BG24" s="16">
        <v>1.23E-2</v>
      </c>
      <c r="BH24" s="1"/>
      <c r="BI24" s="1"/>
      <c r="BJ24" s="1"/>
      <c r="BK24" s="1"/>
      <c r="BL24" s="1"/>
      <c r="BM24" s="1"/>
      <c r="BN24" s="1"/>
      <c r="BO24" s="1"/>
    </row>
    <row r="25" spans="1:67" x14ac:dyDescent="0.2">
      <c r="A25" s="5" t="s">
        <v>304</v>
      </c>
      <c r="B25" s="5" t="s">
        <v>305</v>
      </c>
      <c r="C25" s="14">
        <v>4.87E-2</v>
      </c>
      <c r="D25" s="12" t="s">
        <v>320</v>
      </c>
      <c r="E25" s="12" t="s">
        <v>321</v>
      </c>
      <c r="F25" s="3">
        <v>8.1299999999999997E-2</v>
      </c>
      <c r="G25" s="12" t="s">
        <v>338</v>
      </c>
      <c r="H25" s="5" t="s">
        <v>339</v>
      </c>
      <c r="I25" s="14">
        <v>2.4199999999999999E-2</v>
      </c>
      <c r="J25" s="12" t="s">
        <v>364</v>
      </c>
      <c r="K25" s="5" t="s">
        <v>365</v>
      </c>
      <c r="L25" s="3">
        <v>5.9200000000000003E-2</v>
      </c>
      <c r="M25" s="26" t="s">
        <v>354</v>
      </c>
      <c r="N25" s="5" t="s">
        <v>355</v>
      </c>
      <c r="O25" s="3">
        <v>5.9200000000000003E-2</v>
      </c>
      <c r="P25" s="5" t="s">
        <v>73</v>
      </c>
      <c r="Q25" s="5" t="s">
        <v>74</v>
      </c>
      <c r="R25" s="3">
        <v>9.2999999999999992E-3</v>
      </c>
      <c r="S25" s="12" t="s">
        <v>75</v>
      </c>
      <c r="T25" s="5" t="s">
        <v>76</v>
      </c>
      <c r="U25" s="3">
        <v>9.4999999999999998E-3</v>
      </c>
      <c r="V25" s="12" t="s">
        <v>291</v>
      </c>
      <c r="W25" s="5" t="s">
        <v>292</v>
      </c>
      <c r="X25" s="45">
        <v>2.8999999999999998E-3</v>
      </c>
      <c r="Y25" s="15" t="s">
        <v>291</v>
      </c>
      <c r="Z25" s="9" t="s">
        <v>292</v>
      </c>
      <c r="AA25" s="3">
        <v>3.0000000000000001E-3</v>
      </c>
      <c r="AB25" s="12" t="s">
        <v>394</v>
      </c>
      <c r="AC25" s="5" t="s">
        <v>395</v>
      </c>
      <c r="AD25" s="3">
        <v>3.0000000000000001E-3</v>
      </c>
      <c r="AE25" s="15" t="s">
        <v>394</v>
      </c>
      <c r="AF25" s="9" t="s">
        <v>395</v>
      </c>
      <c r="AG25" s="3">
        <v>2.5000000000000001E-3</v>
      </c>
      <c r="AH25" s="12" t="s">
        <v>377</v>
      </c>
      <c r="AI25" s="4" t="s">
        <v>378</v>
      </c>
      <c r="AJ25" s="3">
        <v>1.2500000000000001E-2</v>
      </c>
      <c r="AK25" s="12" t="s">
        <v>396</v>
      </c>
      <c r="AL25" s="5" t="s">
        <v>397</v>
      </c>
      <c r="AM25" s="14">
        <v>2.1100000000000001E-2</v>
      </c>
      <c r="AN25" s="26" t="s">
        <v>188</v>
      </c>
      <c r="AO25" s="14">
        <v>2.5000000000000001E-3</v>
      </c>
      <c r="AP25" s="13" t="s">
        <v>389</v>
      </c>
      <c r="AQ25" s="23" t="s">
        <v>390</v>
      </c>
      <c r="AR25" s="14">
        <v>1.8499999999999999E-2</v>
      </c>
      <c r="AS25" s="19" t="s">
        <v>398</v>
      </c>
      <c r="AT25" s="18" t="s">
        <v>399</v>
      </c>
      <c r="AU25" s="14">
        <v>1.26E-2</v>
      </c>
      <c r="AV25" s="20" t="s">
        <v>382</v>
      </c>
      <c r="AW25" s="23" t="s">
        <v>383</v>
      </c>
      <c r="AX25" s="22">
        <v>9.5999999999999992E-3</v>
      </c>
      <c r="AY25" s="5" t="s">
        <v>373</v>
      </c>
      <c r="AZ25" s="4" t="s">
        <v>374</v>
      </c>
      <c r="BA25" s="14">
        <v>1.03E-2</v>
      </c>
      <c r="BB25" s="13" t="s">
        <v>384</v>
      </c>
      <c r="BC25" s="13" t="s">
        <v>400</v>
      </c>
      <c r="BD25" s="21">
        <v>1.06E-2</v>
      </c>
      <c r="BE25" s="47" t="s">
        <v>401</v>
      </c>
      <c r="BF25" s="47" t="s">
        <v>402</v>
      </c>
      <c r="BG25" s="16">
        <v>1.0699999999999999E-2</v>
      </c>
      <c r="BH25" s="1"/>
      <c r="BI25" s="1"/>
      <c r="BJ25" s="1"/>
      <c r="BK25" s="1"/>
      <c r="BL25" s="1"/>
      <c r="BM25" s="1"/>
      <c r="BN25" s="1"/>
      <c r="BO25" s="1"/>
    </row>
    <row r="26" spans="1:67" x14ac:dyDescent="0.2">
      <c r="A26" s="5" t="s">
        <v>322</v>
      </c>
      <c r="B26" s="5" t="s">
        <v>323</v>
      </c>
      <c r="C26" s="14">
        <v>7.2800000000000004E-2</v>
      </c>
      <c r="D26" s="15" t="s">
        <v>403</v>
      </c>
      <c r="E26" s="15" t="s">
        <v>404</v>
      </c>
      <c r="F26" s="25">
        <v>9.1999999999999998E-3</v>
      </c>
      <c r="G26" s="12" t="s">
        <v>352</v>
      </c>
      <c r="H26" s="5" t="s">
        <v>353</v>
      </c>
      <c r="I26" s="14">
        <v>4.87E-2</v>
      </c>
      <c r="J26" s="12" t="s">
        <v>324</v>
      </c>
      <c r="K26" s="5" t="s">
        <v>325</v>
      </c>
      <c r="L26" s="3">
        <v>1.55E-2</v>
      </c>
      <c r="M26" s="26" t="s">
        <v>326</v>
      </c>
      <c r="N26" s="5" t="s">
        <v>327</v>
      </c>
      <c r="O26" s="3">
        <v>1.55E-2</v>
      </c>
      <c r="P26" s="5" t="s">
        <v>100</v>
      </c>
      <c r="Q26" s="5" t="s">
        <v>101</v>
      </c>
      <c r="R26" s="3">
        <v>1.5599999999999999E-2</v>
      </c>
      <c r="S26" s="12" t="s">
        <v>102</v>
      </c>
      <c r="T26" s="5" t="s">
        <v>103</v>
      </c>
      <c r="U26" s="3">
        <v>1.6E-2</v>
      </c>
      <c r="V26" s="12" t="s">
        <v>405</v>
      </c>
      <c r="W26" s="5" t="s">
        <v>406</v>
      </c>
      <c r="X26" s="14">
        <v>5.5999999999999999E-3</v>
      </c>
      <c r="Y26" s="15" t="s">
        <v>405</v>
      </c>
      <c r="Z26" s="9" t="s">
        <v>406</v>
      </c>
      <c r="AA26" s="3">
        <v>3.0000000000000001E-3</v>
      </c>
      <c r="AB26" s="12" t="s">
        <v>407</v>
      </c>
      <c r="AC26" s="5" t="s">
        <v>408</v>
      </c>
      <c r="AD26" s="3">
        <v>3.0000000000000001E-3</v>
      </c>
      <c r="AE26" s="15" t="s">
        <v>407</v>
      </c>
      <c r="AF26" s="9" t="s">
        <v>408</v>
      </c>
      <c r="AG26" s="3">
        <v>2.5000000000000001E-3</v>
      </c>
      <c r="AH26" s="15" t="s">
        <v>306</v>
      </c>
      <c r="AI26" s="17" t="s">
        <v>307</v>
      </c>
      <c r="AJ26" s="3">
        <v>2.5000000000000001E-3</v>
      </c>
      <c r="AK26" s="15" t="s">
        <v>409</v>
      </c>
      <c r="AL26" s="9" t="s">
        <v>410</v>
      </c>
      <c r="AM26" s="14">
        <v>4.3E-3</v>
      </c>
      <c r="AN26" s="26" t="s">
        <v>87</v>
      </c>
      <c r="AO26" s="14">
        <v>4.0000000000000001E-3</v>
      </c>
      <c r="AP26" s="19" t="s">
        <v>411</v>
      </c>
      <c r="AQ26" s="24" t="s">
        <v>186</v>
      </c>
      <c r="AR26" s="14">
        <v>5.1799999999999999E-2</v>
      </c>
      <c r="AS26" s="12" t="s">
        <v>412</v>
      </c>
      <c r="AT26" s="5" t="s">
        <v>413</v>
      </c>
      <c r="AU26" s="14">
        <v>2.52E-2</v>
      </c>
      <c r="AV26" s="20" t="s">
        <v>414</v>
      </c>
      <c r="AW26" s="23" t="s">
        <v>415</v>
      </c>
      <c r="AX26" s="22">
        <v>1.37E-2</v>
      </c>
      <c r="AY26" s="18" t="s">
        <v>414</v>
      </c>
      <c r="AZ26" s="24" t="s">
        <v>415</v>
      </c>
      <c r="BA26" s="14">
        <v>1.5299999999999999E-2</v>
      </c>
      <c r="BB26" s="15" t="s">
        <v>416</v>
      </c>
      <c r="BC26" s="15" t="s">
        <v>417</v>
      </c>
      <c r="BD26" s="21">
        <v>1.5699999999999999E-2</v>
      </c>
      <c r="BE26" s="11" t="s">
        <v>418</v>
      </c>
      <c r="BF26" s="11" t="s">
        <v>419</v>
      </c>
      <c r="BG26" s="16">
        <v>1.72E-2</v>
      </c>
      <c r="BH26" s="1"/>
      <c r="BI26" s="1"/>
      <c r="BJ26" s="1"/>
      <c r="BK26" s="1"/>
      <c r="BL26" s="1"/>
      <c r="BM26" s="1"/>
      <c r="BN26" s="1"/>
      <c r="BO26" s="1"/>
    </row>
    <row r="27" spans="1:67" x14ac:dyDescent="0.2">
      <c r="A27" s="9" t="s">
        <v>420</v>
      </c>
      <c r="B27" s="9" t="s">
        <v>421</v>
      </c>
      <c r="C27" s="14">
        <v>8.2000000000000007E-3</v>
      </c>
      <c r="D27" s="15" t="s">
        <v>422</v>
      </c>
      <c r="E27" s="15" t="s">
        <v>423</v>
      </c>
      <c r="F27" s="25">
        <v>9.1999999999999998E-3</v>
      </c>
      <c r="G27" s="12" t="s">
        <v>364</v>
      </c>
      <c r="H27" s="5" t="s">
        <v>365</v>
      </c>
      <c r="I27" s="14">
        <v>7.2700000000000001E-2</v>
      </c>
      <c r="J27" s="12" t="s">
        <v>340</v>
      </c>
      <c r="K27" s="5" t="s">
        <v>341</v>
      </c>
      <c r="L27" s="3">
        <v>3.2000000000000001E-2</v>
      </c>
      <c r="M27" s="26" t="s">
        <v>342</v>
      </c>
      <c r="N27" s="5" t="s">
        <v>343</v>
      </c>
      <c r="O27" s="3">
        <v>3.2000000000000001E-2</v>
      </c>
      <c r="P27" s="5" t="s">
        <v>123</v>
      </c>
      <c r="Q27" s="5" t="s">
        <v>124</v>
      </c>
      <c r="R27" s="3">
        <v>5.2400000000000002E-2</v>
      </c>
      <c r="S27" s="12" t="s">
        <v>125</v>
      </c>
      <c r="T27" s="5" t="s">
        <v>126</v>
      </c>
      <c r="U27" s="3">
        <v>5.45E-2</v>
      </c>
      <c r="V27" s="12" t="s">
        <v>255</v>
      </c>
      <c r="W27" s="5" t="s">
        <v>256</v>
      </c>
      <c r="X27" s="14">
        <v>5.5999999999999999E-3</v>
      </c>
      <c r="Y27" s="12" t="s">
        <v>255</v>
      </c>
      <c r="Z27" s="5" t="s">
        <v>256</v>
      </c>
      <c r="AA27" s="3">
        <v>3.0000000000000001E-3</v>
      </c>
      <c r="AB27" s="12" t="s">
        <v>306</v>
      </c>
      <c r="AC27" s="5" t="s">
        <v>307</v>
      </c>
      <c r="AD27" s="3">
        <v>3.0000000000000001E-3</v>
      </c>
      <c r="AE27" s="12" t="s">
        <v>306</v>
      </c>
      <c r="AF27" s="5" t="s">
        <v>307</v>
      </c>
      <c r="AG27" s="3">
        <v>2.5000000000000001E-3</v>
      </c>
      <c r="AH27" s="15" t="s">
        <v>424</v>
      </c>
      <c r="AI27" s="17" t="s">
        <v>425</v>
      </c>
      <c r="AJ27" s="3">
        <v>2.5000000000000001E-3</v>
      </c>
      <c r="AK27" s="15" t="s">
        <v>426</v>
      </c>
      <c r="AL27" s="9" t="s">
        <v>427</v>
      </c>
      <c r="AM27" s="14">
        <v>4.3E-3</v>
      </c>
      <c r="AN27" s="26" t="s">
        <v>114</v>
      </c>
      <c r="AO27" s="14">
        <v>4.0000000000000001E-3</v>
      </c>
      <c r="AP27" s="19" t="s">
        <v>428</v>
      </c>
      <c r="AQ27" s="24" t="s">
        <v>236</v>
      </c>
      <c r="AR27" s="14">
        <v>5.1799999999999999E-2</v>
      </c>
      <c r="AS27" s="12" t="s">
        <v>429</v>
      </c>
      <c r="AT27" s="5" t="s">
        <v>430</v>
      </c>
      <c r="AU27" s="14">
        <v>2.52E-2</v>
      </c>
      <c r="AV27" s="10" t="s">
        <v>412</v>
      </c>
      <c r="AW27" s="17" t="s">
        <v>430</v>
      </c>
      <c r="AX27" s="22">
        <v>1.37E-2</v>
      </c>
      <c r="AY27" s="9" t="s">
        <v>429</v>
      </c>
      <c r="AZ27" s="17" t="s">
        <v>413</v>
      </c>
      <c r="BA27" s="14">
        <v>1.83E-2</v>
      </c>
      <c r="BB27" s="19" t="s">
        <v>431</v>
      </c>
      <c r="BC27" s="19" t="s">
        <v>432</v>
      </c>
      <c r="BD27" s="21">
        <v>1.5699999999999999E-2</v>
      </c>
      <c r="BE27" s="11" t="s">
        <v>433</v>
      </c>
      <c r="BF27" s="11" t="s">
        <v>434</v>
      </c>
      <c r="BG27" s="16">
        <v>1.72E-2</v>
      </c>
      <c r="BH27" s="1"/>
      <c r="BI27" s="1"/>
      <c r="BJ27" s="1"/>
      <c r="BK27" s="1"/>
      <c r="BL27" s="1"/>
      <c r="BM27" s="1"/>
      <c r="BN27" s="1"/>
      <c r="BO27" s="1"/>
    </row>
    <row r="28" spans="1:67" x14ac:dyDescent="0.2">
      <c r="A28" s="9" t="s">
        <v>435</v>
      </c>
      <c r="B28" s="9" t="s">
        <v>436</v>
      </c>
      <c r="C28" s="14">
        <v>8.2000000000000007E-3</v>
      </c>
      <c r="D28" s="12" t="s">
        <v>437</v>
      </c>
      <c r="E28" s="12" t="s">
        <v>438</v>
      </c>
      <c r="F28" s="3">
        <v>1.38E-2</v>
      </c>
      <c r="G28" s="15" t="s">
        <v>439</v>
      </c>
      <c r="H28" s="9" t="s">
        <v>440</v>
      </c>
      <c r="I28" s="14">
        <v>8.2000000000000007E-3</v>
      </c>
      <c r="J28" s="12" t="s">
        <v>354</v>
      </c>
      <c r="K28" s="5" t="s">
        <v>355</v>
      </c>
      <c r="L28" s="3">
        <v>6.4000000000000001E-2</v>
      </c>
      <c r="M28" s="26" t="s">
        <v>356</v>
      </c>
      <c r="N28" s="5" t="s">
        <v>357</v>
      </c>
      <c r="O28" s="3">
        <v>6.4000000000000001E-2</v>
      </c>
      <c r="P28" s="5" t="s">
        <v>75</v>
      </c>
      <c r="Q28" s="5" t="s">
        <v>76</v>
      </c>
      <c r="R28" s="3">
        <v>9.2999999999999992E-3</v>
      </c>
      <c r="S28" s="13" t="s">
        <v>79</v>
      </c>
      <c r="T28" s="11" t="s">
        <v>80</v>
      </c>
      <c r="U28" s="3">
        <v>9.4999999999999998E-3</v>
      </c>
      <c r="V28" s="12" t="s">
        <v>394</v>
      </c>
      <c r="W28" s="5" t="s">
        <v>395</v>
      </c>
      <c r="X28" s="14">
        <v>5.5999999999999999E-3</v>
      </c>
      <c r="Y28" s="12" t="s">
        <v>394</v>
      </c>
      <c r="Z28" s="5" t="s">
        <v>395</v>
      </c>
      <c r="AA28" s="3">
        <v>3.0000000000000001E-3</v>
      </c>
      <c r="AB28" s="12" t="s">
        <v>424</v>
      </c>
      <c r="AC28" s="5" t="s">
        <v>425</v>
      </c>
      <c r="AD28" s="3">
        <v>3.0000000000000001E-3</v>
      </c>
      <c r="AE28" s="12" t="s">
        <v>424</v>
      </c>
      <c r="AF28" s="5" t="s">
        <v>425</v>
      </c>
      <c r="AG28" s="3">
        <v>2.5000000000000001E-3</v>
      </c>
      <c r="AH28" s="15" t="s">
        <v>441</v>
      </c>
      <c r="AI28" s="17" t="s">
        <v>442</v>
      </c>
      <c r="AJ28" s="3">
        <v>2.5000000000000001E-3</v>
      </c>
      <c r="AK28" s="15" t="s">
        <v>443</v>
      </c>
      <c r="AL28" s="9" t="s">
        <v>444</v>
      </c>
      <c r="AM28" s="14">
        <v>4.3E-3</v>
      </c>
      <c r="AN28" s="26" t="s">
        <v>137</v>
      </c>
      <c r="AO28" s="14">
        <v>4.0000000000000001E-3</v>
      </c>
      <c r="AP28" s="19" t="s">
        <v>293</v>
      </c>
      <c r="AQ28" s="24" t="s">
        <v>294</v>
      </c>
      <c r="AR28" s="30">
        <v>5.7000000000000002E-2</v>
      </c>
      <c r="AS28" s="19" t="s">
        <v>445</v>
      </c>
      <c r="AT28" s="18" t="s">
        <v>446</v>
      </c>
      <c r="AU28" s="14">
        <v>3.5299999999999998E-2</v>
      </c>
      <c r="AV28" s="26" t="s">
        <v>429</v>
      </c>
      <c r="AW28" s="4" t="s">
        <v>413</v>
      </c>
      <c r="AX28" s="22">
        <v>1.7100000000000001E-2</v>
      </c>
      <c r="AY28" s="11" t="s">
        <v>431</v>
      </c>
      <c r="AZ28" s="23" t="s">
        <v>432</v>
      </c>
      <c r="BA28" s="14">
        <v>1.83E-2</v>
      </c>
      <c r="BB28" s="13" t="s">
        <v>418</v>
      </c>
      <c r="BC28" s="13" t="s">
        <v>447</v>
      </c>
      <c r="BD28" s="21">
        <v>1.8800000000000001E-2</v>
      </c>
      <c r="BE28" s="11" t="s">
        <v>448</v>
      </c>
      <c r="BF28" s="11" t="s">
        <v>449</v>
      </c>
      <c r="BG28" s="16">
        <v>1.72E-2</v>
      </c>
      <c r="BH28" s="1"/>
      <c r="BI28" s="1"/>
      <c r="BJ28" s="1"/>
      <c r="BK28" s="1"/>
      <c r="BL28" s="1"/>
      <c r="BM28" s="1"/>
      <c r="BN28" s="1"/>
      <c r="BO28" s="1"/>
    </row>
    <row r="29" spans="1:67" x14ac:dyDescent="0.2">
      <c r="A29" s="5" t="s">
        <v>403</v>
      </c>
      <c r="B29" s="5" t="s">
        <v>404</v>
      </c>
      <c r="C29" s="14">
        <v>1.23E-2</v>
      </c>
      <c r="D29" s="12" t="s">
        <v>450</v>
      </c>
      <c r="E29" s="12" t="s">
        <v>451</v>
      </c>
      <c r="F29" s="3">
        <v>1.38E-2</v>
      </c>
      <c r="G29" s="15" t="s">
        <v>452</v>
      </c>
      <c r="H29" s="9" t="s">
        <v>453</v>
      </c>
      <c r="I29" s="14">
        <v>8.2000000000000007E-3</v>
      </c>
      <c r="J29" s="15" t="s">
        <v>454</v>
      </c>
      <c r="K29" s="9" t="s">
        <v>455</v>
      </c>
      <c r="L29" s="3">
        <v>8.2000000000000007E-3</v>
      </c>
      <c r="M29" s="10" t="s">
        <v>437</v>
      </c>
      <c r="N29" s="9" t="s">
        <v>438</v>
      </c>
      <c r="O29" s="3">
        <v>8.2000000000000007E-3</v>
      </c>
      <c r="P29" s="5" t="s">
        <v>102</v>
      </c>
      <c r="Q29" s="5" t="s">
        <v>103</v>
      </c>
      <c r="R29" s="3">
        <v>1.5599999999999999E-2</v>
      </c>
      <c r="S29" s="13" t="s">
        <v>106</v>
      </c>
      <c r="T29" s="11" t="s">
        <v>107</v>
      </c>
      <c r="U29" s="3">
        <v>1.6E-2</v>
      </c>
      <c r="V29" s="12" t="s">
        <v>407</v>
      </c>
      <c r="W29" s="5" t="s">
        <v>408</v>
      </c>
      <c r="X29" s="14">
        <v>5.5999999999999999E-3</v>
      </c>
      <c r="Y29" s="12" t="s">
        <v>407</v>
      </c>
      <c r="Z29" s="5" t="s">
        <v>408</v>
      </c>
      <c r="AA29" s="3">
        <v>3.0000000000000001E-3</v>
      </c>
      <c r="AB29" s="12" t="s">
        <v>441</v>
      </c>
      <c r="AC29" s="5" t="s">
        <v>442</v>
      </c>
      <c r="AD29" s="3">
        <v>3.0000000000000001E-3</v>
      </c>
      <c r="AE29" s="12" t="s">
        <v>441</v>
      </c>
      <c r="AF29" s="5" t="s">
        <v>442</v>
      </c>
      <c r="AG29" s="3">
        <v>2.5000000000000001E-3</v>
      </c>
      <c r="AH29" s="15" t="s">
        <v>456</v>
      </c>
      <c r="AI29" s="17" t="s">
        <v>457</v>
      </c>
      <c r="AJ29" s="3">
        <v>2.5000000000000001E-3</v>
      </c>
      <c r="AK29" s="15" t="s">
        <v>458</v>
      </c>
      <c r="AL29" s="9" t="s">
        <v>459</v>
      </c>
      <c r="AM29" s="14">
        <v>4.3E-3</v>
      </c>
      <c r="AN29" s="10" t="s">
        <v>460</v>
      </c>
      <c r="AO29" s="14">
        <v>9.2999999999999992E-3</v>
      </c>
      <c r="AP29" s="13" t="s">
        <v>445</v>
      </c>
      <c r="AQ29" s="23" t="s">
        <v>446</v>
      </c>
      <c r="AR29" s="14">
        <v>5.7000000000000002E-2</v>
      </c>
      <c r="AS29" s="19" t="s">
        <v>461</v>
      </c>
      <c r="AT29" s="18" t="s">
        <v>462</v>
      </c>
      <c r="AU29" s="14">
        <v>5.5399999999999998E-2</v>
      </c>
      <c r="AV29" s="20" t="s">
        <v>431</v>
      </c>
      <c r="AW29" s="23" t="s">
        <v>432</v>
      </c>
      <c r="AX29" s="22">
        <v>1.7100000000000001E-2</v>
      </c>
      <c r="AY29" s="5" t="s">
        <v>416</v>
      </c>
      <c r="AZ29" s="4" t="s">
        <v>417</v>
      </c>
      <c r="BA29" s="14">
        <v>1.83E-2</v>
      </c>
      <c r="BB29" s="13" t="s">
        <v>433</v>
      </c>
      <c r="BC29" s="13" t="s">
        <v>463</v>
      </c>
      <c r="BD29" s="21">
        <v>1.8800000000000001E-2</v>
      </c>
      <c r="BE29" s="11" t="s">
        <v>464</v>
      </c>
      <c r="BF29" s="11" t="s">
        <v>465</v>
      </c>
      <c r="BG29" s="16">
        <v>1.43E-2</v>
      </c>
      <c r="BH29" s="1"/>
      <c r="BI29" s="1"/>
      <c r="BJ29" s="1"/>
      <c r="BK29" s="1"/>
      <c r="BL29" s="1"/>
      <c r="BM29" s="1"/>
      <c r="BN29" s="1"/>
      <c r="BO29" s="1"/>
    </row>
    <row r="30" spans="1:67" x14ac:dyDescent="0.2">
      <c r="A30" s="5" t="s">
        <v>422</v>
      </c>
      <c r="B30" s="5" t="s">
        <v>423</v>
      </c>
      <c r="C30" s="14">
        <v>1.23E-2</v>
      </c>
      <c r="D30" s="12" t="s">
        <v>454</v>
      </c>
      <c r="E30" s="12" t="s">
        <v>455</v>
      </c>
      <c r="F30" s="3">
        <v>1.38E-2</v>
      </c>
      <c r="G30" s="15" t="s">
        <v>466</v>
      </c>
      <c r="H30" s="9" t="s">
        <v>467</v>
      </c>
      <c r="I30" s="14">
        <v>8.2000000000000007E-3</v>
      </c>
      <c r="J30" s="12" t="s">
        <v>437</v>
      </c>
      <c r="K30" s="5" t="s">
        <v>438</v>
      </c>
      <c r="L30" s="3">
        <v>8.2000000000000007E-3</v>
      </c>
      <c r="M30" s="10" t="s">
        <v>450</v>
      </c>
      <c r="N30" s="9" t="s">
        <v>451</v>
      </c>
      <c r="O30" s="3">
        <v>8.2000000000000007E-3</v>
      </c>
      <c r="P30" s="5" t="s">
        <v>125</v>
      </c>
      <c r="Q30" s="5" t="s">
        <v>126</v>
      </c>
      <c r="R30" s="3">
        <v>5.2400000000000002E-2</v>
      </c>
      <c r="S30" s="13" t="s">
        <v>129</v>
      </c>
      <c r="T30" s="11" t="s">
        <v>130</v>
      </c>
      <c r="U30" s="3">
        <v>5.45E-2</v>
      </c>
      <c r="V30" s="12" t="s">
        <v>306</v>
      </c>
      <c r="W30" s="5" t="s">
        <v>307</v>
      </c>
      <c r="X30" s="14">
        <v>5.5999999999999999E-3</v>
      </c>
      <c r="Y30" s="12" t="s">
        <v>306</v>
      </c>
      <c r="Z30" s="5" t="s">
        <v>307</v>
      </c>
      <c r="AA30" s="3">
        <v>3.0000000000000001E-3</v>
      </c>
      <c r="AB30" s="12" t="s">
        <v>456</v>
      </c>
      <c r="AC30" s="5" t="s">
        <v>457</v>
      </c>
      <c r="AD30" s="3">
        <v>3.0000000000000001E-3</v>
      </c>
      <c r="AE30" s="12" t="s">
        <v>456</v>
      </c>
      <c r="AF30" s="5" t="s">
        <v>457</v>
      </c>
      <c r="AG30" s="3">
        <v>2.5000000000000001E-3</v>
      </c>
      <c r="AH30" s="12" t="s">
        <v>409</v>
      </c>
      <c r="AI30" s="4" t="s">
        <v>410</v>
      </c>
      <c r="AJ30" s="3">
        <v>2.5000000000000001E-3</v>
      </c>
      <c r="AK30" s="12" t="s">
        <v>468</v>
      </c>
      <c r="AL30" s="5" t="s">
        <v>388</v>
      </c>
      <c r="AM30" s="14">
        <v>5.3E-3</v>
      </c>
      <c r="AN30" s="26" t="s">
        <v>469</v>
      </c>
      <c r="AO30" s="14">
        <v>9.2999999999999992E-3</v>
      </c>
      <c r="AP30" s="15" t="s">
        <v>470</v>
      </c>
      <c r="AQ30" s="17" t="s">
        <v>471</v>
      </c>
      <c r="AR30" s="14">
        <v>1.04E-2</v>
      </c>
      <c r="AS30" s="13" t="s">
        <v>472</v>
      </c>
      <c r="AT30" s="11" t="s">
        <v>473</v>
      </c>
      <c r="AU30" s="30">
        <v>7.0499999999999993E-2</v>
      </c>
      <c r="AV30" s="20" t="s">
        <v>474</v>
      </c>
      <c r="AW30" s="23" t="s">
        <v>475</v>
      </c>
      <c r="AX30" s="22">
        <v>4.8000000000000001E-2</v>
      </c>
      <c r="AY30" s="18" t="s">
        <v>474</v>
      </c>
      <c r="AZ30" s="24" t="s">
        <v>475</v>
      </c>
      <c r="BA30" s="14">
        <v>4.2799999999999998E-2</v>
      </c>
      <c r="BB30" s="15" t="s">
        <v>476</v>
      </c>
      <c r="BC30" s="15" t="s">
        <v>477</v>
      </c>
      <c r="BD30" s="21">
        <v>4.3999999999999997E-2</v>
      </c>
      <c r="BE30" s="11" t="s">
        <v>478</v>
      </c>
      <c r="BF30" s="11" t="s">
        <v>479</v>
      </c>
      <c r="BG30" s="16">
        <v>4.82E-2</v>
      </c>
      <c r="BH30" s="1"/>
      <c r="BI30" s="1"/>
      <c r="BJ30" s="1"/>
      <c r="BK30" s="1"/>
      <c r="BL30" s="1"/>
      <c r="BM30" s="1"/>
      <c r="BN30" s="1"/>
      <c r="BO30" s="1"/>
    </row>
    <row r="31" spans="1:67" x14ac:dyDescent="0.2">
      <c r="A31" s="5" t="s">
        <v>437</v>
      </c>
      <c r="B31" s="5" t="s">
        <v>438</v>
      </c>
      <c r="C31" s="14">
        <v>1.54E-2</v>
      </c>
      <c r="D31" s="15" t="s">
        <v>480</v>
      </c>
      <c r="E31" s="15" t="s">
        <v>481</v>
      </c>
      <c r="F31" s="25">
        <v>1.72E-2</v>
      </c>
      <c r="G31" s="12" t="s">
        <v>454</v>
      </c>
      <c r="H31" s="5" t="s">
        <v>455</v>
      </c>
      <c r="I31" s="14">
        <v>1.23E-2</v>
      </c>
      <c r="J31" s="12" t="s">
        <v>450</v>
      </c>
      <c r="K31" s="5" t="s">
        <v>451</v>
      </c>
      <c r="L31" s="3">
        <v>8.2000000000000007E-3</v>
      </c>
      <c r="M31" s="10" t="s">
        <v>482</v>
      </c>
      <c r="N31" s="9" t="s">
        <v>483</v>
      </c>
      <c r="O31" s="3">
        <v>8.2000000000000007E-3</v>
      </c>
      <c r="P31" s="9" t="s">
        <v>484</v>
      </c>
      <c r="Q31" s="9" t="s">
        <v>485</v>
      </c>
      <c r="R31" s="3">
        <v>8.9999999999999993E-3</v>
      </c>
      <c r="S31" s="15" t="s">
        <v>486</v>
      </c>
      <c r="T31" s="9" t="s">
        <v>487</v>
      </c>
      <c r="U31" s="3">
        <v>8.2000000000000007E-3</v>
      </c>
      <c r="V31" s="12" t="s">
        <v>488</v>
      </c>
      <c r="W31" s="5" t="s">
        <v>489</v>
      </c>
      <c r="X31" s="45">
        <v>8.0000000000000002E-3</v>
      </c>
      <c r="Y31" s="12" t="s">
        <v>441</v>
      </c>
      <c r="Z31" s="5" t="s">
        <v>442</v>
      </c>
      <c r="AA31" s="3">
        <v>3.0000000000000001E-3</v>
      </c>
      <c r="AB31" s="12" t="s">
        <v>409</v>
      </c>
      <c r="AC31" s="5" t="s">
        <v>410</v>
      </c>
      <c r="AD31" s="3">
        <v>3.0000000000000001E-3</v>
      </c>
      <c r="AE31" s="12" t="s">
        <v>409</v>
      </c>
      <c r="AF31" s="5" t="s">
        <v>410</v>
      </c>
      <c r="AG31" s="3">
        <v>2.5000000000000001E-3</v>
      </c>
      <c r="AH31" s="12" t="s">
        <v>426</v>
      </c>
      <c r="AI31" s="4" t="s">
        <v>427</v>
      </c>
      <c r="AJ31" s="3">
        <v>2.5000000000000001E-3</v>
      </c>
      <c r="AK31" s="12" t="s">
        <v>187</v>
      </c>
      <c r="AL31" s="5" t="s">
        <v>188</v>
      </c>
      <c r="AM31" s="14">
        <v>5.3E-3</v>
      </c>
      <c r="AN31" s="26" t="s">
        <v>471</v>
      </c>
      <c r="AO31" s="14">
        <v>1.3899999999999999E-2</v>
      </c>
      <c r="AP31" s="15" t="s">
        <v>490</v>
      </c>
      <c r="AQ31" s="17" t="s">
        <v>491</v>
      </c>
      <c r="AR31" s="14">
        <v>1.04E-2</v>
      </c>
      <c r="AS31" s="12" t="s">
        <v>492</v>
      </c>
      <c r="AT31" s="5" t="s">
        <v>493</v>
      </c>
      <c r="AU31" s="14">
        <v>7.0499999999999993E-2</v>
      </c>
      <c r="AV31" s="10" t="s">
        <v>472</v>
      </c>
      <c r="AW31" s="17" t="s">
        <v>473</v>
      </c>
      <c r="AX31" s="22">
        <v>4.8000000000000001E-2</v>
      </c>
      <c r="AY31" s="9" t="s">
        <v>492</v>
      </c>
      <c r="AZ31" s="17" t="s">
        <v>493</v>
      </c>
      <c r="BA31" s="14">
        <v>5.1400000000000001E-2</v>
      </c>
      <c r="BB31" s="19" t="s">
        <v>494</v>
      </c>
      <c r="BC31" s="19" t="s">
        <v>495</v>
      </c>
      <c r="BD31" s="21">
        <v>4.3999999999999997E-2</v>
      </c>
      <c r="BE31" s="11" t="s">
        <v>496</v>
      </c>
      <c r="BF31" s="11" t="s">
        <v>497</v>
      </c>
      <c r="BG31" s="16">
        <v>4.82E-2</v>
      </c>
      <c r="BH31" s="1"/>
      <c r="BI31" s="1"/>
      <c r="BJ31" s="1"/>
      <c r="BK31" s="1"/>
      <c r="BL31" s="1"/>
      <c r="BM31" s="1"/>
      <c r="BN31" s="1"/>
      <c r="BO31" s="1"/>
    </row>
    <row r="32" spans="1:67" x14ac:dyDescent="0.2">
      <c r="A32" s="5" t="s">
        <v>450</v>
      </c>
      <c r="B32" s="5" t="s">
        <v>451</v>
      </c>
      <c r="C32" s="14">
        <v>1.54E-2</v>
      </c>
      <c r="D32" s="15" t="s">
        <v>498</v>
      </c>
      <c r="E32" s="15" t="s">
        <v>499</v>
      </c>
      <c r="F32" s="25">
        <v>1.72E-2</v>
      </c>
      <c r="G32" s="12" t="s">
        <v>437</v>
      </c>
      <c r="H32" s="5" t="s">
        <v>438</v>
      </c>
      <c r="I32" s="14">
        <v>1.23E-2</v>
      </c>
      <c r="J32" s="12" t="s">
        <v>484</v>
      </c>
      <c r="K32" s="5" t="s">
        <v>485</v>
      </c>
      <c r="L32" s="3">
        <v>1.26E-2</v>
      </c>
      <c r="M32" s="26" t="s">
        <v>484</v>
      </c>
      <c r="N32" s="5" t="s">
        <v>485</v>
      </c>
      <c r="O32" s="3">
        <v>1.26E-2</v>
      </c>
      <c r="P32" s="9" t="s">
        <v>500</v>
      </c>
      <c r="Q32" s="9" t="s">
        <v>501</v>
      </c>
      <c r="R32" s="3">
        <v>8.9999999999999993E-3</v>
      </c>
      <c r="S32" s="15" t="s">
        <v>502</v>
      </c>
      <c r="T32" s="9" t="s">
        <v>503</v>
      </c>
      <c r="U32" s="3">
        <v>8.2000000000000007E-3</v>
      </c>
      <c r="V32" s="12" t="s">
        <v>504</v>
      </c>
      <c r="W32" s="5" t="s">
        <v>505</v>
      </c>
      <c r="X32" s="45">
        <v>8.0000000000000002E-3</v>
      </c>
      <c r="Y32" s="15" t="s">
        <v>488</v>
      </c>
      <c r="Z32" s="9" t="s">
        <v>489</v>
      </c>
      <c r="AA32" s="3">
        <v>6.8999999999999999E-3</v>
      </c>
      <c r="AB32" s="15" t="s">
        <v>506</v>
      </c>
      <c r="AC32" s="9" t="s">
        <v>507</v>
      </c>
      <c r="AD32" s="3">
        <v>6.8999999999999999E-3</v>
      </c>
      <c r="AE32" s="12" t="s">
        <v>426</v>
      </c>
      <c r="AF32" s="5" t="s">
        <v>427</v>
      </c>
      <c r="AG32" s="3">
        <v>2.5000000000000001E-3</v>
      </c>
      <c r="AH32" s="12" t="s">
        <v>443</v>
      </c>
      <c r="AI32" s="4" t="s">
        <v>444</v>
      </c>
      <c r="AJ32" s="3">
        <v>2.5000000000000001E-3</v>
      </c>
      <c r="AK32" s="15" t="s">
        <v>508</v>
      </c>
      <c r="AL32" s="9" t="s">
        <v>509</v>
      </c>
      <c r="AM32" s="14">
        <v>6.3E-3</v>
      </c>
      <c r="AN32" s="26" t="s">
        <v>491</v>
      </c>
      <c r="AO32" s="14">
        <v>1.3899999999999999E-2</v>
      </c>
      <c r="AP32" s="15" t="s">
        <v>510</v>
      </c>
      <c r="AQ32" s="17" t="s">
        <v>511</v>
      </c>
      <c r="AR32" s="14">
        <v>1.04E-2</v>
      </c>
      <c r="AS32" s="15" t="s">
        <v>512</v>
      </c>
      <c r="AT32" s="9" t="s">
        <v>513</v>
      </c>
      <c r="AU32" s="14">
        <v>7.1000000000000004E-3</v>
      </c>
      <c r="AV32" s="26" t="s">
        <v>492</v>
      </c>
      <c r="AW32" s="4" t="s">
        <v>493</v>
      </c>
      <c r="AX32" s="22">
        <v>5.28E-2</v>
      </c>
      <c r="AY32" s="11" t="s">
        <v>494</v>
      </c>
      <c r="AZ32" s="23" t="s">
        <v>495</v>
      </c>
      <c r="BA32" s="14">
        <v>5.1400000000000001E-2</v>
      </c>
      <c r="BB32" s="13" t="s">
        <v>478</v>
      </c>
      <c r="BC32" s="13" t="s">
        <v>514</v>
      </c>
      <c r="BD32" s="21">
        <v>5.28E-2</v>
      </c>
      <c r="BE32" s="11" t="s">
        <v>515</v>
      </c>
      <c r="BF32" s="11" t="s">
        <v>516</v>
      </c>
      <c r="BG32" s="16">
        <v>4.82E-2</v>
      </c>
      <c r="BH32" s="1"/>
      <c r="BI32" s="1"/>
      <c r="BJ32" s="1"/>
      <c r="BK32" s="1"/>
      <c r="BL32" s="1"/>
      <c r="BM32" s="1"/>
      <c r="BN32" s="1"/>
      <c r="BO32" s="1"/>
    </row>
    <row r="33" spans="1:67" x14ac:dyDescent="0.2">
      <c r="A33" s="9" t="s">
        <v>517</v>
      </c>
      <c r="B33" s="9" t="s">
        <v>518</v>
      </c>
      <c r="C33" s="14">
        <v>1.54E-2</v>
      </c>
      <c r="D33" s="12" t="s">
        <v>519</v>
      </c>
      <c r="E33" s="12" t="s">
        <v>520</v>
      </c>
      <c r="F33" s="3">
        <v>2.07E-2</v>
      </c>
      <c r="G33" s="12" t="s">
        <v>450</v>
      </c>
      <c r="H33" s="5" t="s">
        <v>451</v>
      </c>
      <c r="I33" s="14">
        <v>1.23E-2</v>
      </c>
      <c r="J33" s="12" t="s">
        <v>500</v>
      </c>
      <c r="K33" s="5" t="s">
        <v>501</v>
      </c>
      <c r="L33" s="3">
        <v>1.26E-2</v>
      </c>
      <c r="M33" s="26" t="s">
        <v>500</v>
      </c>
      <c r="N33" s="5" t="s">
        <v>501</v>
      </c>
      <c r="O33" s="3">
        <v>1.26E-2</v>
      </c>
      <c r="P33" s="9" t="s">
        <v>521</v>
      </c>
      <c r="Q33" s="9" t="s">
        <v>522</v>
      </c>
      <c r="R33" s="3">
        <v>8.9999999999999993E-3</v>
      </c>
      <c r="S33" s="15" t="s">
        <v>523</v>
      </c>
      <c r="T33" s="9" t="s">
        <v>524</v>
      </c>
      <c r="U33" s="3">
        <v>8.2000000000000007E-3</v>
      </c>
      <c r="V33" s="12" t="s">
        <v>525</v>
      </c>
      <c r="W33" s="5" t="s">
        <v>526</v>
      </c>
      <c r="X33" s="14">
        <v>9.4999999999999998E-3</v>
      </c>
      <c r="Y33" s="15" t="s">
        <v>504</v>
      </c>
      <c r="Z33" s="9" t="s">
        <v>505</v>
      </c>
      <c r="AA33" s="3">
        <v>6.8999999999999999E-3</v>
      </c>
      <c r="AB33" s="12" t="s">
        <v>527</v>
      </c>
      <c r="AC33" s="5" t="s">
        <v>528</v>
      </c>
      <c r="AD33" s="3">
        <v>6.8999999999999999E-3</v>
      </c>
      <c r="AE33" s="12" t="s">
        <v>443</v>
      </c>
      <c r="AF33" s="5" t="s">
        <v>444</v>
      </c>
      <c r="AG33" s="3">
        <v>2.5000000000000001E-3</v>
      </c>
      <c r="AH33" s="12" t="s">
        <v>458</v>
      </c>
      <c r="AI33" s="4" t="s">
        <v>459</v>
      </c>
      <c r="AJ33" s="3">
        <v>2.5000000000000001E-3</v>
      </c>
      <c r="AK33" s="15" t="s">
        <v>529</v>
      </c>
      <c r="AL33" s="9" t="s">
        <v>530</v>
      </c>
      <c r="AM33" s="14">
        <v>6.3E-3</v>
      </c>
      <c r="AN33" s="26" t="s">
        <v>511</v>
      </c>
      <c r="AO33" s="14">
        <v>1.3899999999999999E-2</v>
      </c>
      <c r="AP33" s="15" t="s">
        <v>531</v>
      </c>
      <c r="AQ33" s="17" t="s">
        <v>532</v>
      </c>
      <c r="AR33" s="14">
        <v>1.04E-2</v>
      </c>
      <c r="AS33" s="15" t="s">
        <v>533</v>
      </c>
      <c r="AT33" s="9" t="s">
        <v>534</v>
      </c>
      <c r="AU33" s="14">
        <v>7.1000000000000004E-3</v>
      </c>
      <c r="AV33" s="20" t="s">
        <v>494</v>
      </c>
      <c r="AW33" s="23" t="s">
        <v>495</v>
      </c>
      <c r="AX33" s="22">
        <v>5.28E-2</v>
      </c>
      <c r="AY33" s="5" t="s">
        <v>476</v>
      </c>
      <c r="AZ33" s="4" t="s">
        <v>477</v>
      </c>
      <c r="BA33" s="14">
        <v>5.1400000000000001E-2</v>
      </c>
      <c r="BB33" s="13" t="s">
        <v>496</v>
      </c>
      <c r="BC33" s="13" t="s">
        <v>535</v>
      </c>
      <c r="BD33" s="21">
        <v>5.28E-2</v>
      </c>
      <c r="BE33" s="11" t="s">
        <v>536</v>
      </c>
      <c r="BF33" s="11" t="s">
        <v>537</v>
      </c>
      <c r="BG33" s="16">
        <v>4.02E-2</v>
      </c>
      <c r="BH33" s="1"/>
      <c r="BI33" s="1"/>
      <c r="BJ33" s="1"/>
      <c r="BK33" s="1"/>
      <c r="BL33" s="1"/>
      <c r="BM33" s="1"/>
      <c r="BN33" s="1"/>
      <c r="BO33" s="1"/>
    </row>
    <row r="34" spans="1:67" x14ac:dyDescent="0.2">
      <c r="A34" s="9" t="s">
        <v>538</v>
      </c>
      <c r="B34" s="9" t="s">
        <v>539</v>
      </c>
      <c r="C34" s="14">
        <v>1.54E-2</v>
      </c>
      <c r="D34" s="12" t="s">
        <v>540</v>
      </c>
      <c r="E34" s="12" t="s">
        <v>541</v>
      </c>
      <c r="F34" s="3">
        <v>2.07E-2</v>
      </c>
      <c r="G34" s="15" t="s">
        <v>542</v>
      </c>
      <c r="H34" s="9" t="s">
        <v>543</v>
      </c>
      <c r="I34" s="14">
        <v>1.54E-2</v>
      </c>
      <c r="J34" s="12" t="s">
        <v>521</v>
      </c>
      <c r="K34" s="5" t="s">
        <v>522</v>
      </c>
      <c r="L34" s="3">
        <v>1.26E-2</v>
      </c>
      <c r="M34" s="26" t="s">
        <v>521</v>
      </c>
      <c r="N34" s="5" t="s">
        <v>522</v>
      </c>
      <c r="O34" s="3">
        <v>1.26E-2</v>
      </c>
      <c r="P34" s="5" t="s">
        <v>486</v>
      </c>
      <c r="Q34" s="5" t="s">
        <v>487</v>
      </c>
      <c r="R34" s="3">
        <v>1.15E-2</v>
      </c>
      <c r="S34" s="12" t="s">
        <v>506</v>
      </c>
      <c r="T34" s="5" t="s">
        <v>507</v>
      </c>
      <c r="U34" s="3">
        <v>9.4999999999999998E-3</v>
      </c>
      <c r="V34" s="12" t="s">
        <v>506</v>
      </c>
      <c r="W34" s="5" t="s">
        <v>507</v>
      </c>
      <c r="X34" s="14">
        <v>9.4999999999999998E-3</v>
      </c>
      <c r="Y34" s="15" t="s">
        <v>525</v>
      </c>
      <c r="Z34" s="9" t="s">
        <v>526</v>
      </c>
      <c r="AA34" s="3">
        <v>6.8999999999999999E-3</v>
      </c>
      <c r="AB34" s="12" t="s">
        <v>544</v>
      </c>
      <c r="AC34" s="5" t="s">
        <v>545</v>
      </c>
      <c r="AD34" s="3">
        <v>6.8999999999999999E-3</v>
      </c>
      <c r="AE34" s="12" t="s">
        <v>458</v>
      </c>
      <c r="AF34" s="5" t="s">
        <v>459</v>
      </c>
      <c r="AG34" s="3">
        <v>2.5000000000000001E-3</v>
      </c>
      <c r="AH34" s="12" t="s">
        <v>468</v>
      </c>
      <c r="AI34" s="4" t="s">
        <v>388</v>
      </c>
      <c r="AJ34" s="3">
        <v>2.5000000000000001E-3</v>
      </c>
      <c r="AK34" s="15" t="s">
        <v>546</v>
      </c>
      <c r="AL34" s="9" t="s">
        <v>547</v>
      </c>
      <c r="AM34" s="14">
        <v>6.3E-3</v>
      </c>
      <c r="AN34" s="10" t="s">
        <v>548</v>
      </c>
      <c r="AO34" s="14">
        <v>1.7399999999999999E-2</v>
      </c>
      <c r="AP34" s="15" t="s">
        <v>549</v>
      </c>
      <c r="AQ34" s="17" t="s">
        <v>550</v>
      </c>
      <c r="AR34" s="14">
        <v>1.04E-2</v>
      </c>
      <c r="AS34" s="15" t="s">
        <v>551</v>
      </c>
      <c r="AT34" s="9" t="s">
        <v>552</v>
      </c>
      <c r="AU34" s="14">
        <v>7.1000000000000004E-3</v>
      </c>
      <c r="AV34" s="26" t="s">
        <v>553</v>
      </c>
      <c r="AW34" s="4" t="s">
        <v>554</v>
      </c>
      <c r="AX34" s="22">
        <v>9.5999999999999992E-3</v>
      </c>
      <c r="AY34" s="5" t="s">
        <v>553</v>
      </c>
      <c r="AZ34" s="4" t="s">
        <v>554</v>
      </c>
      <c r="BA34" s="14">
        <v>1.2800000000000001E-2</v>
      </c>
      <c r="BB34" s="15" t="s">
        <v>553</v>
      </c>
      <c r="BC34" s="15" t="s">
        <v>554</v>
      </c>
      <c r="BD34" s="21">
        <v>1.32E-2</v>
      </c>
      <c r="BE34" s="47" t="s">
        <v>555</v>
      </c>
      <c r="BF34" s="47" t="s">
        <v>556</v>
      </c>
      <c r="BG34" s="16">
        <v>1.6799999999999999E-2</v>
      </c>
      <c r="BH34" s="1"/>
      <c r="BI34" s="1"/>
      <c r="BJ34" s="1"/>
      <c r="BK34" s="1"/>
      <c r="BL34" s="1"/>
      <c r="BM34" s="1"/>
      <c r="BN34" s="1"/>
      <c r="BO34" s="1"/>
    </row>
    <row r="35" spans="1:67" x14ac:dyDescent="0.2">
      <c r="A35" s="5" t="s">
        <v>480</v>
      </c>
      <c r="B35" s="5" t="s">
        <v>481</v>
      </c>
      <c r="C35" s="14">
        <v>1.8499999999999999E-2</v>
      </c>
      <c r="D35" s="12" t="s">
        <v>557</v>
      </c>
      <c r="E35" s="12" t="s">
        <v>558</v>
      </c>
      <c r="F35" s="3">
        <v>2.07E-2</v>
      </c>
      <c r="G35" s="15" t="s">
        <v>559</v>
      </c>
      <c r="H35" s="9" t="s">
        <v>560</v>
      </c>
      <c r="I35" s="14">
        <v>1.54E-2</v>
      </c>
      <c r="J35" s="15" t="s">
        <v>557</v>
      </c>
      <c r="K35" s="9" t="s">
        <v>558</v>
      </c>
      <c r="L35" s="3">
        <v>1.7000000000000001E-2</v>
      </c>
      <c r="M35" s="10" t="s">
        <v>519</v>
      </c>
      <c r="N35" s="9" t="s">
        <v>520</v>
      </c>
      <c r="O35" s="3">
        <v>1.7000000000000001E-2</v>
      </c>
      <c r="P35" s="5" t="s">
        <v>502</v>
      </c>
      <c r="Q35" s="5" t="s">
        <v>503</v>
      </c>
      <c r="R35" s="3">
        <v>1.15E-2</v>
      </c>
      <c r="S35" s="12" t="s">
        <v>488</v>
      </c>
      <c r="T35" s="5" t="s">
        <v>489</v>
      </c>
      <c r="U35" s="3">
        <v>9.4999999999999998E-3</v>
      </c>
      <c r="V35" s="12" t="s">
        <v>527</v>
      </c>
      <c r="W35" s="5" t="s">
        <v>528</v>
      </c>
      <c r="X35" s="14">
        <v>9.4999999999999998E-3</v>
      </c>
      <c r="Y35" s="12" t="s">
        <v>506</v>
      </c>
      <c r="Z35" s="5" t="s">
        <v>507</v>
      </c>
      <c r="AA35" s="3">
        <v>6.8999999999999999E-3</v>
      </c>
      <c r="AB35" s="12" t="s">
        <v>561</v>
      </c>
      <c r="AC35" s="5" t="s">
        <v>562</v>
      </c>
      <c r="AD35" s="3">
        <v>6.8999999999999999E-3</v>
      </c>
      <c r="AE35" s="15" t="s">
        <v>527</v>
      </c>
      <c r="AF35" s="9" t="s">
        <v>528</v>
      </c>
      <c r="AG35" s="3">
        <v>5.1000000000000004E-3</v>
      </c>
      <c r="AH35" s="12" t="s">
        <v>187</v>
      </c>
      <c r="AI35" s="4" t="s">
        <v>188</v>
      </c>
      <c r="AJ35" s="3">
        <v>2.5000000000000001E-3</v>
      </c>
      <c r="AK35" s="15" t="s">
        <v>563</v>
      </c>
      <c r="AL35" s="9" t="s">
        <v>564</v>
      </c>
      <c r="AM35" s="14">
        <v>6.3E-3</v>
      </c>
      <c r="AN35" s="26" t="s">
        <v>565</v>
      </c>
      <c r="AO35" s="14">
        <v>1.7399999999999999E-2</v>
      </c>
      <c r="AP35" s="15" t="s">
        <v>566</v>
      </c>
      <c r="AQ35" s="17" t="s">
        <v>469</v>
      </c>
      <c r="AR35" s="14">
        <v>1.04E-2</v>
      </c>
      <c r="AS35" s="12" t="s">
        <v>567</v>
      </c>
      <c r="AT35" s="5" t="s">
        <v>568</v>
      </c>
      <c r="AU35" s="14">
        <v>1.01E-2</v>
      </c>
      <c r="AV35" s="26" t="s">
        <v>569</v>
      </c>
      <c r="AW35" s="4" t="s">
        <v>570</v>
      </c>
      <c r="AX35" s="22">
        <v>9.5999999999999992E-3</v>
      </c>
      <c r="AY35" s="5" t="s">
        <v>569</v>
      </c>
      <c r="AZ35" s="4" t="s">
        <v>570</v>
      </c>
      <c r="BA35" s="14">
        <v>1.2800000000000001E-2</v>
      </c>
      <c r="BB35" s="15" t="s">
        <v>569</v>
      </c>
      <c r="BC35" s="15" t="s">
        <v>570</v>
      </c>
      <c r="BD35" s="21">
        <v>1.32E-2</v>
      </c>
      <c r="BE35" s="47" t="s">
        <v>571</v>
      </c>
      <c r="BF35" s="47" t="s">
        <v>572</v>
      </c>
      <c r="BG35" s="16">
        <v>1.6799999999999999E-2</v>
      </c>
      <c r="BH35" s="1"/>
      <c r="BI35" s="1"/>
      <c r="BJ35" s="1"/>
      <c r="BK35" s="1"/>
      <c r="BL35" s="1"/>
      <c r="BM35" s="1"/>
      <c r="BN35" s="1"/>
      <c r="BO35" s="1"/>
    </row>
    <row r="36" spans="1:67" x14ac:dyDescent="0.2">
      <c r="A36" s="5" t="s">
        <v>498</v>
      </c>
      <c r="B36" s="5" t="s">
        <v>499</v>
      </c>
      <c r="C36" s="14">
        <v>1.8499999999999999E-2</v>
      </c>
      <c r="D36" s="15" t="s">
        <v>573</v>
      </c>
      <c r="E36" s="15" t="s">
        <v>574</v>
      </c>
      <c r="F36" s="25">
        <v>6.0199999999999997E-2</v>
      </c>
      <c r="G36" s="15" t="s">
        <v>575</v>
      </c>
      <c r="H36" s="9" t="s">
        <v>576</v>
      </c>
      <c r="I36" s="14">
        <v>1.54E-2</v>
      </c>
      <c r="J36" s="12" t="s">
        <v>519</v>
      </c>
      <c r="K36" s="5" t="s">
        <v>520</v>
      </c>
      <c r="L36" s="3">
        <v>1.7000000000000001E-2</v>
      </c>
      <c r="M36" s="10" t="s">
        <v>540</v>
      </c>
      <c r="N36" s="9" t="s">
        <v>541</v>
      </c>
      <c r="O36" s="3">
        <v>1.7000000000000001E-2</v>
      </c>
      <c r="P36" s="5" t="s">
        <v>523</v>
      </c>
      <c r="Q36" s="5" t="s">
        <v>524</v>
      </c>
      <c r="R36" s="3">
        <v>1.15E-2</v>
      </c>
      <c r="S36" s="12" t="s">
        <v>504</v>
      </c>
      <c r="T36" s="5" t="s">
        <v>505</v>
      </c>
      <c r="U36" s="3">
        <v>9.4999999999999998E-3</v>
      </c>
      <c r="V36" s="12" t="s">
        <v>544</v>
      </c>
      <c r="W36" s="5" t="s">
        <v>545</v>
      </c>
      <c r="X36" s="14">
        <v>9.4999999999999998E-3</v>
      </c>
      <c r="Y36" s="12" t="s">
        <v>527</v>
      </c>
      <c r="Z36" s="5" t="s">
        <v>528</v>
      </c>
      <c r="AA36" s="3">
        <v>6.8999999999999999E-3</v>
      </c>
      <c r="AB36" s="12" t="s">
        <v>577</v>
      </c>
      <c r="AC36" s="5" t="s">
        <v>578</v>
      </c>
      <c r="AD36" s="3">
        <v>6.8999999999999999E-3</v>
      </c>
      <c r="AE36" s="15" t="s">
        <v>544</v>
      </c>
      <c r="AF36" s="9" t="s">
        <v>545</v>
      </c>
      <c r="AG36" s="3">
        <v>5.1000000000000004E-3</v>
      </c>
      <c r="AH36" s="15" t="s">
        <v>561</v>
      </c>
      <c r="AI36" s="17" t="s">
        <v>562</v>
      </c>
      <c r="AJ36" s="3">
        <v>5.0000000000000001E-3</v>
      </c>
      <c r="AK36" s="12" t="s">
        <v>579</v>
      </c>
      <c r="AL36" s="5" t="s">
        <v>460</v>
      </c>
      <c r="AM36" s="14">
        <v>7.0000000000000001E-3</v>
      </c>
      <c r="AN36" s="26" t="s">
        <v>580</v>
      </c>
      <c r="AO36" s="14">
        <v>2.6100000000000002E-2</v>
      </c>
      <c r="AP36" s="15" t="s">
        <v>581</v>
      </c>
      <c r="AQ36" s="17" t="s">
        <v>580</v>
      </c>
      <c r="AR36" s="14">
        <v>2.5899999999999999E-2</v>
      </c>
      <c r="AS36" s="12" t="s">
        <v>582</v>
      </c>
      <c r="AT36" s="5" t="s">
        <v>583</v>
      </c>
      <c r="AU36" s="14">
        <v>1.01E-2</v>
      </c>
      <c r="AV36" s="26" t="s">
        <v>584</v>
      </c>
      <c r="AW36" s="4" t="s">
        <v>585</v>
      </c>
      <c r="AX36" s="22">
        <v>9.5999999999999992E-3</v>
      </c>
      <c r="AY36" s="5" t="s">
        <v>584</v>
      </c>
      <c r="AZ36" s="4" t="s">
        <v>585</v>
      </c>
      <c r="BA36" s="14">
        <v>1.2800000000000001E-2</v>
      </c>
      <c r="BB36" s="15" t="s">
        <v>584</v>
      </c>
      <c r="BC36" s="15" t="s">
        <v>585</v>
      </c>
      <c r="BD36" s="21">
        <v>1.32E-2</v>
      </c>
      <c r="BE36" s="59" t="s">
        <v>586</v>
      </c>
      <c r="BF36" s="59" t="s">
        <v>587</v>
      </c>
      <c r="BG36" s="16">
        <v>1.6799999999999999E-2</v>
      </c>
      <c r="BH36" s="1"/>
      <c r="BI36" s="1"/>
      <c r="BJ36" s="1"/>
      <c r="BK36" s="1"/>
      <c r="BL36" s="1"/>
      <c r="BM36" s="1"/>
      <c r="BN36" s="1"/>
      <c r="BO36" s="1"/>
    </row>
    <row r="37" spans="1:67" x14ac:dyDescent="0.2">
      <c r="A37" s="5" t="s">
        <v>519</v>
      </c>
      <c r="B37" s="5" t="s">
        <v>520</v>
      </c>
      <c r="C37" s="14">
        <v>1.8499999999999999E-2</v>
      </c>
      <c r="D37" s="15" t="s">
        <v>588</v>
      </c>
      <c r="E37" s="15" t="s">
        <v>589</v>
      </c>
      <c r="F37" s="25">
        <v>6.0199999999999997E-2</v>
      </c>
      <c r="G37" s="12" t="s">
        <v>557</v>
      </c>
      <c r="H37" s="5" t="s">
        <v>558</v>
      </c>
      <c r="I37" s="14">
        <v>1.8499999999999999E-2</v>
      </c>
      <c r="J37" s="12" t="s">
        <v>540</v>
      </c>
      <c r="K37" s="5" t="s">
        <v>541</v>
      </c>
      <c r="L37" s="3">
        <v>1.7000000000000001E-2</v>
      </c>
      <c r="M37" s="10" t="s">
        <v>590</v>
      </c>
      <c r="N37" s="9" t="s">
        <v>591</v>
      </c>
      <c r="O37" s="3">
        <v>1.7000000000000001E-2</v>
      </c>
      <c r="P37" s="9" t="s">
        <v>592</v>
      </c>
      <c r="Q37" s="9" t="s">
        <v>593</v>
      </c>
      <c r="R37" s="3">
        <v>2.41E-2</v>
      </c>
      <c r="S37" s="12" t="s">
        <v>561</v>
      </c>
      <c r="T37" s="5" t="s">
        <v>562</v>
      </c>
      <c r="U37" s="3">
        <v>9.4999999999999998E-3</v>
      </c>
      <c r="V37" s="12" t="s">
        <v>561</v>
      </c>
      <c r="W37" s="5" t="s">
        <v>562</v>
      </c>
      <c r="X37" s="14">
        <v>9.4999999999999998E-3</v>
      </c>
      <c r="Y37" s="12" t="s">
        <v>544</v>
      </c>
      <c r="Z37" s="5" t="s">
        <v>545</v>
      </c>
      <c r="AA37" s="3">
        <v>6.8999999999999999E-3</v>
      </c>
      <c r="AB37" s="12" t="s">
        <v>594</v>
      </c>
      <c r="AC37" s="5" t="s">
        <v>595</v>
      </c>
      <c r="AD37" s="3">
        <v>6.8999999999999999E-3</v>
      </c>
      <c r="AE37" s="12" t="s">
        <v>561</v>
      </c>
      <c r="AF37" s="5" t="s">
        <v>562</v>
      </c>
      <c r="AG37" s="3">
        <v>5.1000000000000004E-3</v>
      </c>
      <c r="AH37" s="15" t="s">
        <v>577</v>
      </c>
      <c r="AI37" s="17" t="s">
        <v>578</v>
      </c>
      <c r="AJ37" s="3">
        <v>5.0000000000000001E-3</v>
      </c>
      <c r="AK37" s="12" t="s">
        <v>566</v>
      </c>
      <c r="AL37" s="5" t="s">
        <v>469</v>
      </c>
      <c r="AM37" s="14">
        <v>7.0000000000000001E-3</v>
      </c>
      <c r="AN37" s="26" t="s">
        <v>596</v>
      </c>
      <c r="AO37" s="14">
        <v>2.6100000000000002E-2</v>
      </c>
      <c r="AP37" s="15" t="s">
        <v>597</v>
      </c>
      <c r="AQ37" s="17" t="s">
        <v>596</v>
      </c>
      <c r="AR37" s="14">
        <v>2.5899999999999999E-2</v>
      </c>
      <c r="AS37" s="12" t="s">
        <v>598</v>
      </c>
      <c r="AT37" s="5" t="s">
        <v>599</v>
      </c>
      <c r="AU37" s="14">
        <v>1.01E-2</v>
      </c>
      <c r="AV37" s="10" t="s">
        <v>567</v>
      </c>
      <c r="AW37" s="17" t="s">
        <v>568</v>
      </c>
      <c r="AX37" s="22">
        <v>9.5999999999999992E-3</v>
      </c>
      <c r="AY37" s="11" t="s">
        <v>555</v>
      </c>
      <c r="AZ37" s="23" t="s">
        <v>600</v>
      </c>
      <c r="BA37" s="14">
        <v>1.43E-2</v>
      </c>
      <c r="BB37" s="13" t="s">
        <v>555</v>
      </c>
      <c r="BC37" s="13" t="s">
        <v>600</v>
      </c>
      <c r="BD37" s="21">
        <v>1.47E-2</v>
      </c>
      <c r="BE37" s="59" t="s">
        <v>601</v>
      </c>
      <c r="BF37" s="59" t="s">
        <v>602</v>
      </c>
      <c r="BG37" s="16">
        <v>1.41E-2</v>
      </c>
      <c r="BH37" s="1"/>
      <c r="BI37" s="1"/>
      <c r="BJ37" s="1"/>
      <c r="BK37" s="1"/>
      <c r="BL37" s="1"/>
      <c r="BM37" s="1"/>
      <c r="BN37" s="1"/>
      <c r="BO37" s="1"/>
    </row>
    <row r="38" spans="1:67" x14ac:dyDescent="0.2">
      <c r="A38" s="5" t="s">
        <v>540</v>
      </c>
      <c r="B38" s="5" t="s">
        <v>541</v>
      </c>
      <c r="C38" s="14">
        <v>1.8499999999999999E-2</v>
      </c>
      <c r="D38" s="12" t="s">
        <v>603</v>
      </c>
      <c r="E38" s="12" t="s">
        <v>604</v>
      </c>
      <c r="F38" s="3">
        <v>7.2300000000000003E-2</v>
      </c>
      <c r="G38" s="12" t="s">
        <v>519</v>
      </c>
      <c r="H38" s="5" t="s">
        <v>520</v>
      </c>
      <c r="I38" s="14">
        <v>1.8499999999999999E-2</v>
      </c>
      <c r="J38" s="12" t="s">
        <v>592</v>
      </c>
      <c r="K38" s="5" t="s">
        <v>593</v>
      </c>
      <c r="L38" s="3">
        <v>2.1999999999999999E-2</v>
      </c>
      <c r="M38" s="26" t="s">
        <v>592</v>
      </c>
      <c r="N38" s="5" t="s">
        <v>593</v>
      </c>
      <c r="O38" s="3">
        <v>2.1999999999999999E-2</v>
      </c>
      <c r="P38" s="9" t="s">
        <v>605</v>
      </c>
      <c r="Q38" s="9" t="s">
        <v>606</v>
      </c>
      <c r="R38" s="3">
        <v>2.41E-2</v>
      </c>
      <c r="S38" s="15" t="s">
        <v>607</v>
      </c>
      <c r="T38" s="9" t="s">
        <v>608</v>
      </c>
      <c r="U38" s="3">
        <v>2.1499999999999998E-2</v>
      </c>
      <c r="V38" s="12" t="s">
        <v>609</v>
      </c>
      <c r="W38" s="5" t="s">
        <v>610</v>
      </c>
      <c r="X38" s="45">
        <v>2.0899999999999998E-2</v>
      </c>
      <c r="Y38" s="12" t="s">
        <v>561</v>
      </c>
      <c r="Z38" s="5" t="s">
        <v>562</v>
      </c>
      <c r="AA38" s="3">
        <v>6.8999999999999999E-3</v>
      </c>
      <c r="AB38" s="12" t="s">
        <v>611</v>
      </c>
      <c r="AC38" s="5" t="s">
        <v>612</v>
      </c>
      <c r="AD38" s="3">
        <v>6.8999999999999999E-3</v>
      </c>
      <c r="AE38" s="12" t="s">
        <v>577</v>
      </c>
      <c r="AF38" s="5" t="s">
        <v>578</v>
      </c>
      <c r="AG38" s="3">
        <v>5.1000000000000004E-3</v>
      </c>
      <c r="AH38" s="15" t="s">
        <v>594</v>
      </c>
      <c r="AI38" s="17" t="s">
        <v>595</v>
      </c>
      <c r="AJ38" s="3">
        <v>5.0000000000000001E-3</v>
      </c>
      <c r="AK38" s="15" t="s">
        <v>613</v>
      </c>
      <c r="AL38" s="9" t="s">
        <v>614</v>
      </c>
      <c r="AM38" s="14">
        <v>2.3400000000000001E-2</v>
      </c>
      <c r="AN38" s="26" t="s">
        <v>615</v>
      </c>
      <c r="AO38" s="14">
        <v>2.6100000000000002E-2</v>
      </c>
      <c r="AP38" s="15" t="s">
        <v>616</v>
      </c>
      <c r="AQ38" s="17" t="s">
        <v>615</v>
      </c>
      <c r="AR38" s="14">
        <v>2.5899999999999999E-2</v>
      </c>
      <c r="AS38" s="15" t="s">
        <v>617</v>
      </c>
      <c r="AT38" s="9" t="s">
        <v>618</v>
      </c>
      <c r="AU38" s="14">
        <v>1.5100000000000001E-2</v>
      </c>
      <c r="AV38" s="10" t="s">
        <v>582</v>
      </c>
      <c r="AW38" s="17" t="s">
        <v>583</v>
      </c>
      <c r="AX38" s="22">
        <v>9.5999999999999992E-3</v>
      </c>
      <c r="AY38" s="11" t="s">
        <v>571</v>
      </c>
      <c r="AZ38" s="23" t="s">
        <v>619</v>
      </c>
      <c r="BA38" s="14">
        <v>1.43E-2</v>
      </c>
      <c r="BB38" s="13" t="s">
        <v>571</v>
      </c>
      <c r="BC38" s="13" t="s">
        <v>619</v>
      </c>
      <c r="BD38" s="21">
        <v>1.47E-2</v>
      </c>
      <c r="BE38" s="59" t="s">
        <v>620</v>
      </c>
      <c r="BF38" s="59" t="s">
        <v>621</v>
      </c>
      <c r="BG38" s="16">
        <v>1.41E-2</v>
      </c>
      <c r="BH38" s="1"/>
      <c r="BI38" s="1"/>
      <c r="BJ38" s="1"/>
      <c r="BK38" s="1"/>
      <c r="BL38" s="1"/>
      <c r="BM38" s="1"/>
      <c r="BN38" s="1"/>
      <c r="BO38" s="1"/>
    </row>
    <row r="39" spans="1:67" x14ac:dyDescent="0.2">
      <c r="A39" s="9" t="s">
        <v>622</v>
      </c>
      <c r="B39" s="9" t="s">
        <v>623</v>
      </c>
      <c r="C39" s="14">
        <v>5.3900000000000003E-2</v>
      </c>
      <c r="D39" s="12" t="s">
        <v>624</v>
      </c>
      <c r="E39" s="12" t="s">
        <v>625</v>
      </c>
      <c r="F39" s="3">
        <v>7.2300000000000003E-2</v>
      </c>
      <c r="G39" s="12" t="s">
        <v>540</v>
      </c>
      <c r="H39" s="5" t="s">
        <v>541</v>
      </c>
      <c r="I39" s="14">
        <v>1.8499999999999999E-2</v>
      </c>
      <c r="J39" s="12" t="s">
        <v>605</v>
      </c>
      <c r="K39" s="5" t="s">
        <v>606</v>
      </c>
      <c r="L39" s="3">
        <v>2.1999999999999999E-2</v>
      </c>
      <c r="M39" s="26" t="s">
        <v>605</v>
      </c>
      <c r="N39" s="5" t="s">
        <v>606</v>
      </c>
      <c r="O39" s="3">
        <v>2.1999999999999999E-2</v>
      </c>
      <c r="P39" s="9" t="s">
        <v>626</v>
      </c>
      <c r="Q39" s="9" t="s">
        <v>627</v>
      </c>
      <c r="R39" s="3">
        <v>2.41E-2</v>
      </c>
      <c r="S39" s="15" t="s">
        <v>628</v>
      </c>
      <c r="T39" s="9" t="s">
        <v>629</v>
      </c>
      <c r="U39" s="3">
        <v>2.1499999999999998E-2</v>
      </c>
      <c r="V39" s="12" t="s">
        <v>630</v>
      </c>
      <c r="W39" s="5" t="s">
        <v>631</v>
      </c>
      <c r="X39" s="45">
        <v>2.0899999999999998E-2</v>
      </c>
      <c r="Y39" s="12" t="s">
        <v>594</v>
      </c>
      <c r="Z39" s="5" t="s">
        <v>595</v>
      </c>
      <c r="AA39" s="3">
        <v>6.8999999999999999E-3</v>
      </c>
      <c r="AB39" s="12" t="s">
        <v>508</v>
      </c>
      <c r="AC39" s="5" t="s">
        <v>509</v>
      </c>
      <c r="AD39" s="3">
        <v>6.8999999999999999E-3</v>
      </c>
      <c r="AE39" s="12" t="s">
        <v>594</v>
      </c>
      <c r="AF39" s="5" t="s">
        <v>595</v>
      </c>
      <c r="AG39" s="3">
        <v>5.1000000000000004E-3</v>
      </c>
      <c r="AH39" s="15" t="s">
        <v>611</v>
      </c>
      <c r="AI39" s="17" t="s">
        <v>612</v>
      </c>
      <c r="AJ39" s="3">
        <v>5.0000000000000001E-3</v>
      </c>
      <c r="AK39" s="15" t="s">
        <v>632</v>
      </c>
      <c r="AL39" s="9" t="s">
        <v>633</v>
      </c>
      <c r="AM39" s="14">
        <v>2.3400000000000001E-2</v>
      </c>
      <c r="AN39" s="10" t="s">
        <v>634</v>
      </c>
      <c r="AO39" s="14">
        <v>4.36E-2</v>
      </c>
      <c r="AP39" s="15" t="s">
        <v>635</v>
      </c>
      <c r="AQ39" s="17" t="s">
        <v>636</v>
      </c>
      <c r="AR39" s="14">
        <v>2.5899999999999999E-2</v>
      </c>
      <c r="AS39" s="15" t="s">
        <v>637</v>
      </c>
      <c r="AT39" s="9" t="s">
        <v>638</v>
      </c>
      <c r="AU39" s="14">
        <v>1.5100000000000001E-2</v>
      </c>
      <c r="AV39" s="10" t="s">
        <v>598</v>
      </c>
      <c r="AW39" s="17" t="s">
        <v>599</v>
      </c>
      <c r="AX39" s="22">
        <v>9.5999999999999992E-3</v>
      </c>
      <c r="AY39" s="5" t="s">
        <v>586</v>
      </c>
      <c r="AZ39" s="4" t="s">
        <v>639</v>
      </c>
      <c r="BA39" s="14">
        <v>1.43E-2</v>
      </c>
      <c r="BB39" s="12" t="s">
        <v>586</v>
      </c>
      <c r="BC39" s="12" t="s">
        <v>639</v>
      </c>
      <c r="BD39" s="21">
        <v>1.47E-2</v>
      </c>
      <c r="BE39" s="59" t="s">
        <v>640</v>
      </c>
      <c r="BF39" s="59" t="s">
        <v>641</v>
      </c>
      <c r="BG39" s="16">
        <v>1.41E-2</v>
      </c>
      <c r="BH39" s="1"/>
      <c r="BI39" s="1"/>
      <c r="BJ39" s="1"/>
      <c r="BK39" s="1"/>
      <c r="BL39" s="1"/>
      <c r="BM39" s="1"/>
      <c r="BN39" s="1"/>
      <c r="BO39" s="1"/>
    </row>
    <row r="40" spans="1:67" x14ac:dyDescent="0.2">
      <c r="A40" s="9" t="s">
        <v>642</v>
      </c>
      <c r="B40" s="9" t="s">
        <v>643</v>
      </c>
      <c r="C40" s="14">
        <v>5.3900000000000003E-2</v>
      </c>
      <c r="D40" s="12" t="s">
        <v>644</v>
      </c>
      <c r="E40" s="12" t="s">
        <v>645</v>
      </c>
      <c r="F40" s="3">
        <v>7.2300000000000003E-2</v>
      </c>
      <c r="G40" s="15" t="s">
        <v>646</v>
      </c>
      <c r="H40" s="9" t="s">
        <v>647</v>
      </c>
      <c r="I40" s="14">
        <v>5.3900000000000003E-2</v>
      </c>
      <c r="J40" s="12" t="s">
        <v>626</v>
      </c>
      <c r="K40" s="5" t="s">
        <v>627</v>
      </c>
      <c r="L40" s="3">
        <v>2.1999999999999999E-2</v>
      </c>
      <c r="M40" s="26" t="s">
        <v>626</v>
      </c>
      <c r="N40" s="5" t="s">
        <v>627</v>
      </c>
      <c r="O40" s="3">
        <v>2.1999999999999999E-2</v>
      </c>
      <c r="P40" s="5" t="s">
        <v>607</v>
      </c>
      <c r="Q40" s="5" t="s">
        <v>608</v>
      </c>
      <c r="R40" s="3">
        <v>2.6200000000000001E-2</v>
      </c>
      <c r="S40" s="15" t="s">
        <v>648</v>
      </c>
      <c r="T40" s="9" t="s">
        <v>649</v>
      </c>
      <c r="U40" s="3">
        <v>2.1499999999999998E-2</v>
      </c>
      <c r="V40" s="12" t="s">
        <v>650</v>
      </c>
      <c r="W40" s="5" t="s">
        <v>651</v>
      </c>
      <c r="X40" s="14">
        <v>2.18E-2</v>
      </c>
      <c r="Y40" s="15" t="s">
        <v>609</v>
      </c>
      <c r="Z40" s="9" t="s">
        <v>610</v>
      </c>
      <c r="AA40" s="3">
        <v>2.2700000000000001E-2</v>
      </c>
      <c r="AB40" s="15" t="s">
        <v>652</v>
      </c>
      <c r="AC40" s="9" t="s">
        <v>653</v>
      </c>
      <c r="AD40" s="3">
        <v>2.2700000000000001E-2</v>
      </c>
      <c r="AE40" s="12" t="s">
        <v>611</v>
      </c>
      <c r="AF40" s="5" t="s">
        <v>612</v>
      </c>
      <c r="AG40" s="3">
        <v>5.1000000000000004E-3</v>
      </c>
      <c r="AH40" s="12" t="s">
        <v>508</v>
      </c>
      <c r="AI40" s="4" t="s">
        <v>509</v>
      </c>
      <c r="AJ40" s="3">
        <v>5.0000000000000001E-3</v>
      </c>
      <c r="AK40" s="15" t="s">
        <v>654</v>
      </c>
      <c r="AL40" s="9" t="s">
        <v>655</v>
      </c>
      <c r="AM40" s="14">
        <v>2.3400000000000001E-2</v>
      </c>
      <c r="AN40" s="26" t="s">
        <v>656</v>
      </c>
      <c r="AO40" s="14">
        <v>4.36E-2</v>
      </c>
      <c r="AP40" s="15" t="s">
        <v>657</v>
      </c>
      <c r="AQ40" s="17" t="s">
        <v>658</v>
      </c>
      <c r="AR40" s="14">
        <v>2.5899999999999999E-2</v>
      </c>
      <c r="AS40" s="15" t="s">
        <v>659</v>
      </c>
      <c r="AT40" s="9" t="s">
        <v>660</v>
      </c>
      <c r="AU40" s="14">
        <v>1.5100000000000001E-2</v>
      </c>
      <c r="AV40" s="26" t="s">
        <v>661</v>
      </c>
      <c r="AW40" s="4" t="s">
        <v>662</v>
      </c>
      <c r="AX40" s="22">
        <v>2.4E-2</v>
      </c>
      <c r="AY40" s="5" t="s">
        <v>661</v>
      </c>
      <c r="AZ40" s="4" t="s">
        <v>662</v>
      </c>
      <c r="BA40" s="14">
        <v>2.9399999999999999E-2</v>
      </c>
      <c r="BB40" s="15" t="s">
        <v>661</v>
      </c>
      <c r="BC40" s="15" t="s">
        <v>662</v>
      </c>
      <c r="BD40" s="21">
        <v>3.0200000000000001E-2</v>
      </c>
      <c r="BE40" s="11" t="s">
        <v>663</v>
      </c>
      <c r="BF40" s="11" t="s">
        <v>664</v>
      </c>
      <c r="BG40" s="16">
        <v>3.0099999999999998E-2</v>
      </c>
      <c r="BH40" s="1"/>
      <c r="BI40" s="1"/>
      <c r="BJ40" s="1"/>
      <c r="BK40" s="1"/>
      <c r="BL40" s="1"/>
      <c r="BM40" s="1"/>
      <c r="BN40" s="1"/>
      <c r="BO40" s="1"/>
    </row>
    <row r="41" spans="1:67" x14ac:dyDescent="0.2">
      <c r="A41" s="5" t="s">
        <v>573</v>
      </c>
      <c r="B41" s="5" t="s">
        <v>574</v>
      </c>
      <c r="C41" s="14">
        <v>6.4799999999999996E-2</v>
      </c>
      <c r="D41" s="57" t="s">
        <v>665</v>
      </c>
      <c r="E41" s="2" t="s">
        <v>666</v>
      </c>
      <c r="F41" s="56">
        <f>SUM(F2:F5)</f>
        <v>1.44E-2</v>
      </c>
      <c r="G41" s="9" t="s">
        <v>667</v>
      </c>
      <c r="H41" s="9" t="s">
        <v>668</v>
      </c>
      <c r="I41" s="14">
        <v>5.3900000000000003E-2</v>
      </c>
      <c r="J41" s="15" t="s">
        <v>644</v>
      </c>
      <c r="K41" s="9" t="s">
        <v>645</v>
      </c>
      <c r="L41" s="3">
        <v>5.1999999999999998E-2</v>
      </c>
      <c r="M41" s="10" t="s">
        <v>603</v>
      </c>
      <c r="N41" s="9" t="s">
        <v>604</v>
      </c>
      <c r="O41" s="3">
        <v>5.1999999999999998E-2</v>
      </c>
      <c r="P41" s="5" t="s">
        <v>628</v>
      </c>
      <c r="Q41" s="5" t="s">
        <v>629</v>
      </c>
      <c r="R41" s="3">
        <v>2.6200000000000001E-2</v>
      </c>
      <c r="S41" s="12" t="s">
        <v>652</v>
      </c>
      <c r="T41" s="5" t="s">
        <v>653</v>
      </c>
      <c r="U41" s="3">
        <v>2.2499999999999999E-2</v>
      </c>
      <c r="V41" s="12" t="s">
        <v>652</v>
      </c>
      <c r="W41" s="5" t="s">
        <v>653</v>
      </c>
      <c r="X41" s="14">
        <v>2.18E-2</v>
      </c>
      <c r="Y41" s="15" t="s">
        <v>630</v>
      </c>
      <c r="Z41" s="9" t="s">
        <v>631</v>
      </c>
      <c r="AA41" s="3">
        <v>2.2700000000000001E-2</v>
      </c>
      <c r="AB41" s="12" t="s">
        <v>669</v>
      </c>
      <c r="AC41" s="5" t="s">
        <v>670</v>
      </c>
      <c r="AD41" s="3">
        <v>2.2700000000000001E-2</v>
      </c>
      <c r="AE41" s="12" t="s">
        <v>508</v>
      </c>
      <c r="AF41" s="5" t="s">
        <v>509</v>
      </c>
      <c r="AG41" s="3">
        <v>5.1000000000000004E-3</v>
      </c>
      <c r="AH41" s="12" t="s">
        <v>529</v>
      </c>
      <c r="AI41" s="4" t="s">
        <v>530</v>
      </c>
      <c r="AJ41" s="3">
        <v>5.0000000000000001E-3</v>
      </c>
      <c r="AK41" s="15" t="s">
        <v>671</v>
      </c>
      <c r="AL41" s="9" t="s">
        <v>672</v>
      </c>
      <c r="AM41" s="14">
        <v>2.3400000000000001E-2</v>
      </c>
      <c r="AN41" s="26" t="s">
        <v>673</v>
      </c>
      <c r="AO41" s="14">
        <v>6.9699999999999998E-2</v>
      </c>
      <c r="AP41" s="15" t="s">
        <v>674</v>
      </c>
      <c r="AQ41" s="17" t="s">
        <v>565</v>
      </c>
      <c r="AR41" s="14">
        <v>2.5899999999999999E-2</v>
      </c>
      <c r="AS41" s="12" t="s">
        <v>675</v>
      </c>
      <c r="AT41" s="5" t="s">
        <v>676</v>
      </c>
      <c r="AU41" s="14">
        <v>1.89E-2</v>
      </c>
      <c r="AV41" s="26" t="s">
        <v>677</v>
      </c>
      <c r="AW41" s="4" t="s">
        <v>678</v>
      </c>
      <c r="AX41" s="22">
        <v>2.4E-2</v>
      </c>
      <c r="AY41" s="5" t="s">
        <v>677</v>
      </c>
      <c r="AZ41" s="4" t="s">
        <v>678</v>
      </c>
      <c r="BA41" s="14">
        <v>2.9399999999999999E-2</v>
      </c>
      <c r="BB41" s="15" t="s">
        <v>677</v>
      </c>
      <c r="BC41" s="15" t="s">
        <v>678</v>
      </c>
      <c r="BD41" s="21">
        <v>3.0200000000000001E-2</v>
      </c>
      <c r="BE41" s="11" t="s">
        <v>679</v>
      </c>
      <c r="BF41" s="11" t="s">
        <v>680</v>
      </c>
      <c r="BG41" s="16">
        <v>3.0099999999999998E-2</v>
      </c>
      <c r="BH41" s="1"/>
      <c r="BI41" s="1"/>
      <c r="BJ41" s="1"/>
      <c r="BK41" s="1"/>
      <c r="BL41" s="1"/>
      <c r="BM41" s="1"/>
      <c r="BN41" s="1"/>
      <c r="BO41" s="1"/>
    </row>
    <row r="42" spans="1:67" x14ac:dyDescent="0.2">
      <c r="A42" s="5" t="s">
        <v>588</v>
      </c>
      <c r="B42" s="5" t="s">
        <v>589</v>
      </c>
      <c r="C42" s="14">
        <v>6.4799999999999996E-2</v>
      </c>
      <c r="D42" s="57" t="s">
        <v>681</v>
      </c>
      <c r="E42" s="2" t="s">
        <v>682</v>
      </c>
      <c r="F42" s="56">
        <f>SUM(F14:F25)</f>
        <v>0.39189999999999997</v>
      </c>
      <c r="G42" s="9" t="s">
        <v>683</v>
      </c>
      <c r="H42" s="9" t="s">
        <v>684</v>
      </c>
      <c r="I42" s="14">
        <v>5.3900000000000003E-2</v>
      </c>
      <c r="J42" s="12" t="s">
        <v>603</v>
      </c>
      <c r="K42" s="5" t="s">
        <v>604</v>
      </c>
      <c r="L42" s="3">
        <v>5.1999999999999998E-2</v>
      </c>
      <c r="M42" s="10" t="s">
        <v>624</v>
      </c>
      <c r="N42" s="9" t="s">
        <v>625</v>
      </c>
      <c r="O42" s="3">
        <v>5.1999999999999998E-2</v>
      </c>
      <c r="P42" s="5" t="s">
        <v>648</v>
      </c>
      <c r="Q42" s="5" t="s">
        <v>649</v>
      </c>
      <c r="R42" s="3">
        <v>2.6200000000000001E-2</v>
      </c>
      <c r="S42" s="12" t="s">
        <v>609</v>
      </c>
      <c r="T42" s="5" t="s">
        <v>610</v>
      </c>
      <c r="U42" s="3">
        <v>2.2499999999999999E-2</v>
      </c>
      <c r="V42" s="12" t="s">
        <v>669</v>
      </c>
      <c r="W42" s="5" t="s">
        <v>670</v>
      </c>
      <c r="X42" s="14">
        <v>2.18E-2</v>
      </c>
      <c r="Y42" s="15" t="s">
        <v>650</v>
      </c>
      <c r="Z42" s="9" t="s">
        <v>651</v>
      </c>
      <c r="AA42" s="3">
        <v>2.2700000000000001E-2</v>
      </c>
      <c r="AB42" s="12" t="s">
        <v>685</v>
      </c>
      <c r="AC42" s="5" t="s">
        <v>686</v>
      </c>
      <c r="AD42" s="3">
        <v>2.2700000000000001E-2</v>
      </c>
      <c r="AE42" s="12" t="s">
        <v>529</v>
      </c>
      <c r="AF42" s="5" t="s">
        <v>530</v>
      </c>
      <c r="AG42" s="3">
        <v>5.1000000000000004E-3</v>
      </c>
      <c r="AH42" s="12" t="s">
        <v>546</v>
      </c>
      <c r="AI42" s="4" t="s">
        <v>547</v>
      </c>
      <c r="AJ42" s="3">
        <v>5.0000000000000001E-3</v>
      </c>
      <c r="AK42" s="12" t="s">
        <v>687</v>
      </c>
      <c r="AL42" s="5" t="s">
        <v>548</v>
      </c>
      <c r="AM42" s="14">
        <v>4.1000000000000002E-2</v>
      </c>
      <c r="AN42" s="26" t="s">
        <v>688</v>
      </c>
      <c r="AO42" s="14">
        <v>6.9699999999999998E-2</v>
      </c>
      <c r="AP42" s="15" t="s">
        <v>689</v>
      </c>
      <c r="AQ42" s="17" t="s">
        <v>673</v>
      </c>
      <c r="AR42" s="14">
        <v>5.5100000000000003E-2</v>
      </c>
      <c r="AS42" s="12" t="s">
        <v>690</v>
      </c>
      <c r="AT42" s="5" t="s">
        <v>691</v>
      </c>
      <c r="AU42" s="14">
        <v>1.89E-2</v>
      </c>
      <c r="AV42" s="26" t="s">
        <v>692</v>
      </c>
      <c r="AW42" s="4" t="s">
        <v>693</v>
      </c>
      <c r="AX42" s="22">
        <v>2.4E-2</v>
      </c>
      <c r="AY42" s="5" t="s">
        <v>692</v>
      </c>
      <c r="AZ42" s="4" t="s">
        <v>693</v>
      </c>
      <c r="BA42" s="14">
        <v>2.9399999999999999E-2</v>
      </c>
      <c r="BB42" s="15" t="s">
        <v>692</v>
      </c>
      <c r="BC42" s="15" t="s">
        <v>693</v>
      </c>
      <c r="BD42" s="21">
        <v>3.0200000000000001E-2</v>
      </c>
      <c r="BE42" s="5" t="s">
        <v>694</v>
      </c>
      <c r="BF42" s="5" t="s">
        <v>695</v>
      </c>
      <c r="BG42" s="16">
        <v>3.0099999999999998E-2</v>
      </c>
      <c r="BH42" s="1"/>
      <c r="BI42" s="1"/>
      <c r="BJ42" s="1"/>
      <c r="BK42" s="1"/>
      <c r="BL42" s="1"/>
      <c r="BM42" s="1"/>
      <c r="BN42" s="1"/>
      <c r="BO42" s="1"/>
    </row>
    <row r="43" spans="1:67" x14ac:dyDescent="0.2">
      <c r="A43" s="5" t="s">
        <v>603</v>
      </c>
      <c r="B43" s="5" t="s">
        <v>604</v>
      </c>
      <c r="C43" s="14">
        <v>6.4799999999999996E-2</v>
      </c>
      <c r="D43" s="57" t="s">
        <v>696</v>
      </c>
      <c r="E43" s="2" t="s">
        <v>697</v>
      </c>
      <c r="F43" s="56">
        <f>SUM(F6:F8)</f>
        <v>8.4000000000000005E-2</v>
      </c>
      <c r="G43" s="5" t="s">
        <v>644</v>
      </c>
      <c r="H43" s="5" t="s">
        <v>645</v>
      </c>
      <c r="I43" s="14">
        <v>6.4699999999999994E-2</v>
      </c>
      <c r="J43" s="12" t="s">
        <v>624</v>
      </c>
      <c r="K43" s="5" t="s">
        <v>625</v>
      </c>
      <c r="L43" s="3">
        <v>5.1999999999999998E-2</v>
      </c>
      <c r="M43" s="10" t="s">
        <v>698</v>
      </c>
      <c r="N43" s="9" t="s">
        <v>699</v>
      </c>
      <c r="O43" s="3">
        <v>5.1999999999999998E-2</v>
      </c>
      <c r="P43" s="9" t="s">
        <v>700</v>
      </c>
      <c r="Q43" s="9" t="s">
        <v>701</v>
      </c>
      <c r="R43" s="3">
        <v>4.5499999999999999E-2</v>
      </c>
      <c r="S43" s="12" t="s">
        <v>630</v>
      </c>
      <c r="T43" s="5" t="s">
        <v>631</v>
      </c>
      <c r="U43" s="3">
        <v>2.2499999999999999E-2</v>
      </c>
      <c r="V43" s="12" t="s">
        <v>685</v>
      </c>
      <c r="W43" s="5" t="s">
        <v>686</v>
      </c>
      <c r="X43" s="14">
        <v>2.18E-2</v>
      </c>
      <c r="Y43" s="12" t="s">
        <v>652</v>
      </c>
      <c r="Z43" s="5" t="s">
        <v>653</v>
      </c>
      <c r="AA43" s="3">
        <v>2.2700000000000001E-2</v>
      </c>
      <c r="AB43" s="12" t="s">
        <v>702</v>
      </c>
      <c r="AC43" s="5" t="s">
        <v>703</v>
      </c>
      <c r="AD43" s="3">
        <v>2.2700000000000001E-2</v>
      </c>
      <c r="AE43" s="12" t="s">
        <v>546</v>
      </c>
      <c r="AF43" s="5" t="s">
        <v>547</v>
      </c>
      <c r="AG43" s="3">
        <v>5.1000000000000004E-3</v>
      </c>
      <c r="AH43" s="12" t="s">
        <v>563</v>
      </c>
      <c r="AI43" s="4" t="s">
        <v>564</v>
      </c>
      <c r="AJ43" s="3">
        <v>5.0000000000000001E-3</v>
      </c>
      <c r="AK43" s="12" t="s">
        <v>674</v>
      </c>
      <c r="AL43" s="5" t="s">
        <v>565</v>
      </c>
      <c r="AM43" s="14">
        <v>4.1000000000000002E-2</v>
      </c>
      <c r="AN43" s="26" t="s">
        <v>704</v>
      </c>
      <c r="AO43" s="14">
        <v>6.9699999999999998E-2</v>
      </c>
      <c r="AP43" s="15" t="s">
        <v>705</v>
      </c>
      <c r="AQ43" s="17" t="s">
        <v>688</v>
      </c>
      <c r="AR43" s="14">
        <v>5.5100000000000003E-2</v>
      </c>
      <c r="AS43" s="12" t="s">
        <v>706</v>
      </c>
      <c r="AT43" s="5" t="s">
        <v>707</v>
      </c>
      <c r="AU43" s="14">
        <v>1.89E-2</v>
      </c>
      <c r="AV43" s="10" t="s">
        <v>675</v>
      </c>
      <c r="AW43" s="17" t="s">
        <v>676</v>
      </c>
      <c r="AX43" s="22">
        <v>2.4E-2</v>
      </c>
      <c r="AY43" s="11" t="s">
        <v>663</v>
      </c>
      <c r="AZ43" s="23" t="s">
        <v>708</v>
      </c>
      <c r="BA43" s="14">
        <v>3.2099999999999997E-2</v>
      </c>
      <c r="BB43" s="13" t="s">
        <v>663</v>
      </c>
      <c r="BC43" s="13" t="s">
        <v>708</v>
      </c>
      <c r="BD43" s="21">
        <v>3.3000000000000002E-2</v>
      </c>
      <c r="BE43" s="5" t="s">
        <v>709</v>
      </c>
      <c r="BF43" s="5" t="s">
        <v>710</v>
      </c>
      <c r="BG43" s="16">
        <v>2.5100000000000001E-2</v>
      </c>
      <c r="BH43" s="1"/>
      <c r="BI43" s="1"/>
      <c r="BJ43" s="1"/>
      <c r="BK43" s="1"/>
      <c r="BL43" s="1"/>
      <c r="BM43" s="1"/>
      <c r="BN43" s="1"/>
      <c r="BO43" s="1"/>
    </row>
    <row r="44" spans="1:67" x14ac:dyDescent="0.2">
      <c r="A44" s="5" t="s">
        <v>624</v>
      </c>
      <c r="B44" s="5" t="s">
        <v>625</v>
      </c>
      <c r="C44" s="14">
        <v>6.4799999999999996E-2</v>
      </c>
      <c r="D44" s="57" t="s">
        <v>711</v>
      </c>
      <c r="E44" s="2" t="s">
        <v>712</v>
      </c>
      <c r="F44" s="56">
        <f>SUM(F9:F13)</f>
        <v>1.6599999999999997E-2</v>
      </c>
      <c r="G44" s="5" t="s">
        <v>603</v>
      </c>
      <c r="H44" s="5" t="s">
        <v>604</v>
      </c>
      <c r="I44" s="14">
        <v>6.4699999999999994E-2</v>
      </c>
      <c r="J44" s="12" t="s">
        <v>700</v>
      </c>
      <c r="K44" s="5" t="s">
        <v>701</v>
      </c>
      <c r="L44" s="3">
        <v>6.3E-2</v>
      </c>
      <c r="M44" s="26" t="s">
        <v>700</v>
      </c>
      <c r="N44" s="5" t="s">
        <v>701</v>
      </c>
      <c r="O44" s="3">
        <v>6.3E-2</v>
      </c>
      <c r="P44" s="9" t="s">
        <v>713</v>
      </c>
      <c r="Q44" s="9" t="s">
        <v>714</v>
      </c>
      <c r="R44" s="3">
        <v>4.5499999999999999E-2</v>
      </c>
      <c r="S44" s="12" t="s">
        <v>702</v>
      </c>
      <c r="T44" s="5" t="s">
        <v>703</v>
      </c>
      <c r="U44" s="3">
        <v>2.2499999999999999E-2</v>
      </c>
      <c r="V44" s="12" t="s">
        <v>702</v>
      </c>
      <c r="W44" s="5" t="s">
        <v>703</v>
      </c>
      <c r="X44" s="14">
        <v>2.18E-2</v>
      </c>
      <c r="Y44" s="12" t="s">
        <v>669</v>
      </c>
      <c r="Z44" s="5" t="s">
        <v>670</v>
      </c>
      <c r="AA44" s="3">
        <v>2.2700000000000001E-2</v>
      </c>
      <c r="AB44" s="12" t="s">
        <v>715</v>
      </c>
      <c r="AC44" s="5" t="s">
        <v>716</v>
      </c>
      <c r="AD44" s="3">
        <v>2.2700000000000001E-2</v>
      </c>
      <c r="AE44" s="12" t="s">
        <v>563</v>
      </c>
      <c r="AF44" s="5" t="s">
        <v>564</v>
      </c>
      <c r="AG44" s="3">
        <v>5.1000000000000004E-3</v>
      </c>
      <c r="AH44" s="12" t="s">
        <v>579</v>
      </c>
      <c r="AI44" s="4" t="s">
        <v>460</v>
      </c>
      <c r="AJ44" s="3">
        <v>5.0000000000000001E-3</v>
      </c>
      <c r="AK44" s="15" t="s">
        <v>717</v>
      </c>
      <c r="AL44" s="9" t="s">
        <v>718</v>
      </c>
      <c r="AM44" s="14">
        <v>5.8599999999999999E-2</v>
      </c>
      <c r="AN44" s="58" t="s">
        <v>666</v>
      </c>
      <c r="AO44" s="2">
        <f>SUM(AO2:AO5)</f>
        <v>1.15E-2</v>
      </c>
      <c r="AP44" s="9" t="s">
        <v>719</v>
      </c>
      <c r="AQ44" s="17" t="s">
        <v>704</v>
      </c>
      <c r="AR44" s="14">
        <v>5.5100000000000003E-2</v>
      </c>
      <c r="AS44" s="15" t="s">
        <v>720</v>
      </c>
      <c r="AT44" s="9" t="s">
        <v>721</v>
      </c>
      <c r="AU44" s="14">
        <v>5.04E-2</v>
      </c>
      <c r="AV44" s="10" t="s">
        <v>690</v>
      </c>
      <c r="AW44" s="17" t="s">
        <v>691</v>
      </c>
      <c r="AX44" s="22">
        <v>2.4E-2</v>
      </c>
      <c r="AY44" s="11" t="s">
        <v>679</v>
      </c>
      <c r="AZ44" s="23" t="s">
        <v>722</v>
      </c>
      <c r="BA44" s="14">
        <v>3.2099999999999997E-2</v>
      </c>
      <c r="BB44" s="13" t="s">
        <v>679</v>
      </c>
      <c r="BC44" s="13" t="s">
        <v>722</v>
      </c>
      <c r="BD44" s="21">
        <v>3.3000000000000002E-2</v>
      </c>
      <c r="BE44" s="5" t="s">
        <v>723</v>
      </c>
      <c r="BF44" s="5" t="s">
        <v>724</v>
      </c>
      <c r="BG44" s="16">
        <v>2.5100000000000001E-2</v>
      </c>
      <c r="BH44" s="1"/>
      <c r="BI44" s="1"/>
      <c r="BJ44" s="1"/>
      <c r="BK44" s="1"/>
      <c r="BL44" s="1"/>
      <c r="BM44" s="1"/>
      <c r="BN44" s="1"/>
      <c r="BO44" s="1"/>
    </row>
    <row r="45" spans="1:67" x14ac:dyDescent="0.2">
      <c r="A45" s="57" t="s">
        <v>665</v>
      </c>
      <c r="B45" s="2" t="s">
        <v>666</v>
      </c>
      <c r="C45" s="56">
        <f>SUM(C2:C5)</f>
        <v>1.3000000000000001E-2</v>
      </c>
      <c r="D45" s="57" t="s">
        <v>725</v>
      </c>
      <c r="E45" s="2" t="s">
        <v>726</v>
      </c>
      <c r="F45" s="56">
        <f>SUM(F26:F40)</f>
        <v>0.49360000000000004</v>
      </c>
      <c r="G45" s="5" t="s">
        <v>624</v>
      </c>
      <c r="H45" s="5" t="s">
        <v>625</v>
      </c>
      <c r="I45" s="14">
        <v>6.4699999999999994E-2</v>
      </c>
      <c r="J45" s="12" t="s">
        <v>713</v>
      </c>
      <c r="K45" s="5" t="s">
        <v>714</v>
      </c>
      <c r="L45" s="3">
        <v>6.3E-2</v>
      </c>
      <c r="M45" s="26" t="s">
        <v>713</v>
      </c>
      <c r="N45" s="5" t="s">
        <v>714</v>
      </c>
      <c r="O45" s="3">
        <v>6.3E-2</v>
      </c>
      <c r="P45" s="9" t="s">
        <v>727</v>
      </c>
      <c r="Q45" s="9" t="s">
        <v>728</v>
      </c>
      <c r="R45" s="3">
        <v>4.5499999999999999E-2</v>
      </c>
      <c r="S45" s="15" t="s">
        <v>729</v>
      </c>
      <c r="T45" s="9" t="s">
        <v>730</v>
      </c>
      <c r="U45" s="3">
        <v>4.0800000000000003E-2</v>
      </c>
      <c r="V45" s="12" t="s">
        <v>731</v>
      </c>
      <c r="W45" s="5" t="s">
        <v>732</v>
      </c>
      <c r="X45" s="45">
        <v>0.04</v>
      </c>
      <c r="Y45" s="12" t="s">
        <v>685</v>
      </c>
      <c r="Z45" s="5" t="s">
        <v>686</v>
      </c>
      <c r="AA45" s="3">
        <v>2.2700000000000001E-2</v>
      </c>
      <c r="AB45" s="12" t="s">
        <v>733</v>
      </c>
      <c r="AC45" s="5" t="s">
        <v>734</v>
      </c>
      <c r="AD45" s="3">
        <v>2.2700000000000001E-2</v>
      </c>
      <c r="AE45" s="15" t="s">
        <v>669</v>
      </c>
      <c r="AF45" s="9" t="s">
        <v>670</v>
      </c>
      <c r="AG45" s="3">
        <v>2.0799999999999999E-2</v>
      </c>
      <c r="AH45" s="12" t="s">
        <v>566</v>
      </c>
      <c r="AI45" s="4" t="s">
        <v>469</v>
      </c>
      <c r="AJ45" s="3">
        <v>5.0000000000000001E-3</v>
      </c>
      <c r="AK45" s="15" t="s">
        <v>735</v>
      </c>
      <c r="AL45" s="9" t="s">
        <v>736</v>
      </c>
      <c r="AM45" s="14">
        <v>5.8599999999999999E-2</v>
      </c>
      <c r="AN45" s="58" t="s">
        <v>682</v>
      </c>
      <c r="AO45" s="2">
        <f>SUM(AO6:AO17)</f>
        <v>0.31340000000000001</v>
      </c>
      <c r="AP45" s="9" t="s">
        <v>737</v>
      </c>
      <c r="AQ45" s="17" t="s">
        <v>738</v>
      </c>
      <c r="AR45" s="14">
        <v>5.5100000000000003E-2</v>
      </c>
      <c r="AS45" s="15" t="s">
        <v>739</v>
      </c>
      <c r="AT45" s="9" t="s">
        <v>740</v>
      </c>
      <c r="AU45" s="14">
        <v>5.04E-2</v>
      </c>
      <c r="AV45" s="10" t="s">
        <v>706</v>
      </c>
      <c r="AW45" s="17" t="s">
        <v>707</v>
      </c>
      <c r="AX45" s="22">
        <v>2.4E-2</v>
      </c>
      <c r="AY45" s="5" t="s">
        <v>694</v>
      </c>
      <c r="AZ45" s="4" t="s">
        <v>741</v>
      </c>
      <c r="BA45" s="14">
        <v>3.2099999999999997E-2</v>
      </c>
      <c r="BB45" s="12" t="s">
        <v>694</v>
      </c>
      <c r="BC45" s="12" t="s">
        <v>741</v>
      </c>
      <c r="BD45" s="21">
        <v>3.3000000000000002E-2</v>
      </c>
      <c r="BE45" s="5" t="s">
        <v>742</v>
      </c>
      <c r="BF45" s="5" t="s">
        <v>743</v>
      </c>
      <c r="BG45" s="16">
        <v>2.5100000000000001E-2</v>
      </c>
      <c r="BH45" s="1"/>
      <c r="BI45" s="1"/>
      <c r="BJ45" s="1"/>
      <c r="BK45" s="1"/>
      <c r="BL45" s="1"/>
      <c r="BM45" s="1"/>
      <c r="BN45" s="1"/>
      <c r="BO45" s="1"/>
    </row>
    <row r="46" spans="1:67" x14ac:dyDescent="0.2">
      <c r="A46" s="57" t="s">
        <v>681</v>
      </c>
      <c r="B46" s="2" t="s">
        <v>682</v>
      </c>
      <c r="C46" s="56">
        <f>SUM(C15:C26)</f>
        <v>0.35089999999999999</v>
      </c>
      <c r="D46" s="7"/>
      <c r="E46" s="7" t="s">
        <v>744</v>
      </c>
      <c r="F46" s="8">
        <f>SUM(F41:F45)</f>
        <v>1.0005000000000002</v>
      </c>
      <c r="G46" s="2" t="s">
        <v>665</v>
      </c>
      <c r="H46" s="2" t="s">
        <v>666</v>
      </c>
      <c r="I46" s="56">
        <f>SUM(I2:I5)</f>
        <v>1.3000000000000001E-2</v>
      </c>
      <c r="J46" s="5" t="s">
        <v>727</v>
      </c>
      <c r="K46" s="5" t="s">
        <v>728</v>
      </c>
      <c r="L46" s="3">
        <v>6.3E-2</v>
      </c>
      <c r="M46" s="26" t="s">
        <v>727</v>
      </c>
      <c r="N46" s="5" t="s">
        <v>728</v>
      </c>
      <c r="O46" s="3">
        <v>6.3E-2</v>
      </c>
      <c r="P46" s="5" t="s">
        <v>729</v>
      </c>
      <c r="Q46" s="5" t="s">
        <v>730</v>
      </c>
      <c r="R46" s="3">
        <v>5.79E-2</v>
      </c>
      <c r="S46" s="15" t="s">
        <v>745</v>
      </c>
      <c r="T46" s="9" t="s">
        <v>746</v>
      </c>
      <c r="U46" s="3">
        <v>4.0800000000000003E-2</v>
      </c>
      <c r="V46" s="12" t="s">
        <v>747</v>
      </c>
      <c r="W46" s="5" t="s">
        <v>748</v>
      </c>
      <c r="X46" s="45">
        <v>0.04</v>
      </c>
      <c r="Y46" s="12" t="s">
        <v>702</v>
      </c>
      <c r="Z46" s="5" t="s">
        <v>703</v>
      </c>
      <c r="AA46" s="3">
        <v>2.2700000000000001E-2</v>
      </c>
      <c r="AB46" s="12" t="s">
        <v>749</v>
      </c>
      <c r="AC46" s="5" t="s">
        <v>750</v>
      </c>
      <c r="AD46" s="3">
        <v>2.2700000000000001E-2</v>
      </c>
      <c r="AE46" s="15" t="s">
        <v>685</v>
      </c>
      <c r="AF46" s="9" t="s">
        <v>686</v>
      </c>
      <c r="AG46" s="3">
        <v>2.0799999999999999E-2</v>
      </c>
      <c r="AH46" s="15" t="s">
        <v>702</v>
      </c>
      <c r="AI46" s="17" t="s">
        <v>703</v>
      </c>
      <c r="AJ46" s="3">
        <v>2.06E-2</v>
      </c>
      <c r="AK46" s="15" t="s">
        <v>751</v>
      </c>
      <c r="AL46" s="9" t="s">
        <v>752</v>
      </c>
      <c r="AM46" s="14">
        <v>5.8599999999999999E-2</v>
      </c>
      <c r="AN46" s="58" t="s">
        <v>697</v>
      </c>
      <c r="AO46" s="2">
        <f>SUM(AO18:AO23)</f>
        <v>0.18839999999999996</v>
      </c>
      <c r="AP46" s="9" t="s">
        <v>753</v>
      </c>
      <c r="AQ46" s="17" t="s">
        <v>754</v>
      </c>
      <c r="AR46" s="14">
        <v>5.5100000000000003E-2</v>
      </c>
      <c r="AS46" s="15" t="s">
        <v>755</v>
      </c>
      <c r="AT46" s="9" t="s">
        <v>756</v>
      </c>
      <c r="AU46" s="14">
        <v>5.04E-2</v>
      </c>
      <c r="AV46" s="26" t="s">
        <v>757</v>
      </c>
      <c r="AW46" s="4" t="s">
        <v>758</v>
      </c>
      <c r="AX46" s="22">
        <v>5.0999999999999997E-2</v>
      </c>
      <c r="AY46" s="5" t="s">
        <v>757</v>
      </c>
      <c r="AZ46" s="4" t="s">
        <v>758</v>
      </c>
      <c r="BA46" s="14">
        <v>3.7400000000000003E-2</v>
      </c>
      <c r="BB46" s="15" t="s">
        <v>757</v>
      </c>
      <c r="BC46" s="15" t="s">
        <v>758</v>
      </c>
      <c r="BD46" s="21">
        <v>3.85E-2</v>
      </c>
      <c r="BE46" s="11" t="s">
        <v>759</v>
      </c>
      <c r="BF46" s="11" t="s">
        <v>760</v>
      </c>
      <c r="BG46" s="16">
        <v>4.82E-2</v>
      </c>
      <c r="BH46" s="1"/>
      <c r="BI46" s="1"/>
      <c r="BJ46" s="1"/>
      <c r="BK46" s="1"/>
      <c r="BL46" s="1"/>
      <c r="BM46" s="1"/>
      <c r="BN46" s="1"/>
      <c r="BO46" s="1"/>
    </row>
    <row r="47" spans="1:67" x14ac:dyDescent="0.2">
      <c r="A47" s="57" t="s">
        <v>696</v>
      </c>
      <c r="B47" s="2" t="s">
        <v>697</v>
      </c>
      <c r="C47" s="56">
        <f>SUM(C6:C8)</f>
        <v>7.5000000000000011E-2</v>
      </c>
      <c r="G47" s="2" t="s">
        <v>681</v>
      </c>
      <c r="H47" s="2" t="s">
        <v>682</v>
      </c>
      <c r="I47" s="56">
        <f>SUM(I16:I27)</f>
        <v>0.35039999999999999</v>
      </c>
      <c r="J47" s="2" t="s">
        <v>665</v>
      </c>
      <c r="K47" s="2" t="s">
        <v>666</v>
      </c>
      <c r="L47" s="2">
        <f>SUM(L2:L5)</f>
        <v>1.2500000000000001E-2</v>
      </c>
      <c r="M47" s="2" t="s">
        <v>665</v>
      </c>
      <c r="N47" s="2" t="s">
        <v>666</v>
      </c>
      <c r="O47" s="2">
        <f>SUM(O2:O5)</f>
        <v>1.2500000000000001E-2</v>
      </c>
      <c r="P47" s="5" t="s">
        <v>745</v>
      </c>
      <c r="Q47" s="5" t="s">
        <v>746</v>
      </c>
      <c r="R47" s="3">
        <v>5.79E-2</v>
      </c>
      <c r="S47" s="15" t="s">
        <v>761</v>
      </c>
      <c r="T47" s="9" t="s">
        <v>762</v>
      </c>
      <c r="U47" s="3">
        <v>4.0800000000000003E-2</v>
      </c>
      <c r="V47" s="12" t="s">
        <v>763</v>
      </c>
      <c r="W47" s="5" t="s">
        <v>764</v>
      </c>
      <c r="X47" s="14">
        <v>4.7E-2</v>
      </c>
      <c r="Y47" s="12" t="s">
        <v>733</v>
      </c>
      <c r="Z47" s="5" t="s">
        <v>734</v>
      </c>
      <c r="AA47" s="3">
        <v>2.2700000000000001E-2</v>
      </c>
      <c r="AB47" s="12" t="s">
        <v>613</v>
      </c>
      <c r="AC47" s="5" t="s">
        <v>614</v>
      </c>
      <c r="AD47" s="3">
        <v>2.2700000000000001E-2</v>
      </c>
      <c r="AE47" s="12" t="s">
        <v>702</v>
      </c>
      <c r="AF47" s="5" t="s">
        <v>703</v>
      </c>
      <c r="AG47" s="3">
        <v>2.0799999999999999E-2</v>
      </c>
      <c r="AH47" s="15" t="s">
        <v>715</v>
      </c>
      <c r="AI47" s="17" t="s">
        <v>716</v>
      </c>
      <c r="AJ47" s="3">
        <v>2.06E-2</v>
      </c>
      <c r="AK47" s="15" t="s">
        <v>765</v>
      </c>
      <c r="AL47" s="9" t="s">
        <v>766</v>
      </c>
      <c r="AM47" s="14">
        <v>5.8599999999999999E-2</v>
      </c>
      <c r="AN47" s="58" t="s">
        <v>712</v>
      </c>
      <c r="AO47" s="2">
        <f>SUM(AO24:AO28)</f>
        <v>1.7000000000000001E-2</v>
      </c>
      <c r="AP47" s="9" t="s">
        <v>767</v>
      </c>
      <c r="AQ47" s="17" t="s">
        <v>656</v>
      </c>
      <c r="AR47" s="14">
        <v>5.5100000000000003E-2</v>
      </c>
      <c r="AS47" s="12" t="s">
        <v>768</v>
      </c>
      <c r="AT47" s="5" t="s">
        <v>769</v>
      </c>
      <c r="AU47" s="14">
        <v>5.9200000000000003E-2</v>
      </c>
      <c r="AV47" s="26" t="s">
        <v>770</v>
      </c>
      <c r="AW47" s="4" t="s">
        <v>771</v>
      </c>
      <c r="AX47" s="22">
        <v>5.0999999999999997E-2</v>
      </c>
      <c r="AY47" s="5" t="s">
        <v>770</v>
      </c>
      <c r="AZ47" s="4" t="s">
        <v>771</v>
      </c>
      <c r="BA47" s="14">
        <v>3.7400000000000003E-2</v>
      </c>
      <c r="BB47" s="15" t="s">
        <v>770</v>
      </c>
      <c r="BC47" s="15" t="s">
        <v>771</v>
      </c>
      <c r="BD47" s="21">
        <v>3.85E-2</v>
      </c>
      <c r="BE47" s="11" t="s">
        <v>772</v>
      </c>
      <c r="BF47" s="11" t="s">
        <v>773</v>
      </c>
      <c r="BG47" s="16">
        <v>4.82E-2</v>
      </c>
      <c r="BH47" s="1"/>
      <c r="BI47" s="1"/>
      <c r="BJ47" s="1"/>
      <c r="BK47" s="1"/>
      <c r="BL47" s="1"/>
      <c r="BM47" s="1"/>
      <c r="BN47" s="1"/>
      <c r="BO47" s="1"/>
    </row>
    <row r="48" spans="1:67" x14ac:dyDescent="0.2">
      <c r="A48" s="57" t="s">
        <v>711</v>
      </c>
      <c r="B48" s="2" t="s">
        <v>712</v>
      </c>
      <c r="C48" s="56">
        <f>SUM(C9:C14)</f>
        <v>1.7399999999999999E-2</v>
      </c>
      <c r="G48" s="2" t="s">
        <v>696</v>
      </c>
      <c r="H48" s="2" t="s">
        <v>697</v>
      </c>
      <c r="I48" s="56">
        <f>SUM(I6:I9)</f>
        <v>0.1</v>
      </c>
      <c r="J48" s="2" t="s">
        <v>681</v>
      </c>
      <c r="K48" s="2" t="s">
        <v>682</v>
      </c>
      <c r="L48" s="2">
        <f>SUM(L17:L28)</f>
        <v>0.3241</v>
      </c>
      <c r="M48" s="2" t="s">
        <v>681</v>
      </c>
      <c r="N48" s="2" t="s">
        <v>682</v>
      </c>
      <c r="O48" s="2">
        <f>SUM(O17:O28)</f>
        <v>0.3241</v>
      </c>
      <c r="P48" s="5" t="s">
        <v>761</v>
      </c>
      <c r="Q48" s="5" t="s">
        <v>762</v>
      </c>
      <c r="R48" s="3">
        <v>5.79E-2</v>
      </c>
      <c r="S48" s="12" t="s">
        <v>774</v>
      </c>
      <c r="T48" s="5" t="s">
        <v>775</v>
      </c>
      <c r="U48" s="3">
        <v>4.8000000000000001E-2</v>
      </c>
      <c r="V48" s="12" t="s">
        <v>774</v>
      </c>
      <c r="W48" s="5" t="s">
        <v>775</v>
      </c>
      <c r="X48" s="14">
        <v>4.7E-2</v>
      </c>
      <c r="Y48" s="15" t="s">
        <v>731</v>
      </c>
      <c r="Z48" s="9" t="s">
        <v>732</v>
      </c>
      <c r="AA48" s="3">
        <v>5.3400000000000003E-2</v>
      </c>
      <c r="AB48" s="15" t="s">
        <v>774</v>
      </c>
      <c r="AC48" s="9" t="s">
        <v>775</v>
      </c>
      <c r="AD48" s="3">
        <v>5.3400000000000003E-2</v>
      </c>
      <c r="AE48" s="12" t="s">
        <v>715</v>
      </c>
      <c r="AF48" s="5" t="s">
        <v>716</v>
      </c>
      <c r="AG48" s="3">
        <v>2.0799999999999999E-2</v>
      </c>
      <c r="AH48" s="15" t="s">
        <v>733</v>
      </c>
      <c r="AI48" s="17" t="s">
        <v>734</v>
      </c>
      <c r="AJ48" s="3">
        <v>2.06E-2</v>
      </c>
      <c r="AK48" s="12" t="s">
        <v>776</v>
      </c>
      <c r="AL48" s="5" t="s">
        <v>634</v>
      </c>
      <c r="AM48" s="14">
        <v>7.0300000000000001E-2</v>
      </c>
      <c r="AN48" s="58" t="s">
        <v>726</v>
      </c>
      <c r="AO48" s="2">
        <f>SUM(AO29:AO43)</f>
        <v>0.46969999999999995</v>
      </c>
      <c r="AP48" s="58" t="s">
        <v>665</v>
      </c>
      <c r="AQ48" s="58" t="s">
        <v>666</v>
      </c>
      <c r="AR48" s="2">
        <f>SUM(AR2:AR5)</f>
        <v>1.32E-2</v>
      </c>
      <c r="AS48" s="12" t="s">
        <v>777</v>
      </c>
      <c r="AT48" s="5" t="s">
        <v>778</v>
      </c>
      <c r="AU48" s="14">
        <v>5.9200000000000003E-2</v>
      </c>
      <c r="AV48" s="26" t="s">
        <v>779</v>
      </c>
      <c r="AW48" s="4" t="s">
        <v>780</v>
      </c>
      <c r="AX48" s="22">
        <v>5.0999999999999997E-2</v>
      </c>
      <c r="AY48" s="5" t="s">
        <v>779</v>
      </c>
      <c r="AZ48" s="4" t="s">
        <v>780</v>
      </c>
      <c r="BA48" s="14">
        <v>3.7400000000000003E-2</v>
      </c>
      <c r="BB48" s="15" t="s">
        <v>779</v>
      </c>
      <c r="BC48" s="15" t="s">
        <v>780</v>
      </c>
      <c r="BD48" s="21">
        <v>3.85E-2</v>
      </c>
      <c r="BE48" s="5" t="s">
        <v>781</v>
      </c>
      <c r="BF48" s="5" t="s">
        <v>782</v>
      </c>
      <c r="BG48" s="16">
        <v>4.82E-2</v>
      </c>
      <c r="BH48" s="1"/>
      <c r="BI48" s="1"/>
      <c r="BJ48" s="1"/>
      <c r="BK48" s="1"/>
      <c r="BL48" s="1"/>
      <c r="BM48" s="1"/>
      <c r="BN48" s="1"/>
      <c r="BO48" s="1"/>
    </row>
    <row r="49" spans="1:67" x14ac:dyDescent="0.2">
      <c r="A49" s="57" t="s">
        <v>725</v>
      </c>
      <c r="B49" s="2" t="s">
        <v>726</v>
      </c>
      <c r="C49" s="56">
        <f>SUM(C27:C44)</f>
        <v>0.54359999999999986</v>
      </c>
      <c r="G49" s="2" t="s">
        <v>711</v>
      </c>
      <c r="H49" s="2" t="s">
        <v>712</v>
      </c>
      <c r="I49" s="56">
        <f>SUM(I10:I15)</f>
        <v>1.7399999999999999E-2</v>
      </c>
      <c r="J49" s="2" t="s">
        <v>696</v>
      </c>
      <c r="K49" s="2" t="s">
        <v>697</v>
      </c>
      <c r="L49" s="2">
        <f>SUM(L6:L10)</f>
        <v>0.11799999999999999</v>
      </c>
      <c r="M49" s="2" t="s">
        <v>696</v>
      </c>
      <c r="N49" s="2" t="s">
        <v>697</v>
      </c>
      <c r="O49" s="2">
        <f>SUM(O6:O10)</f>
        <v>0.11799999999999999</v>
      </c>
      <c r="P49" s="2" t="s">
        <v>665</v>
      </c>
      <c r="Q49" s="2" t="s">
        <v>666</v>
      </c>
      <c r="R49" s="2">
        <f>SUM(R2:R5)</f>
        <v>1.24E-2</v>
      </c>
      <c r="S49" s="5" t="s">
        <v>731</v>
      </c>
      <c r="T49" s="5" t="s">
        <v>732</v>
      </c>
      <c r="U49" s="3">
        <v>4.8000000000000001E-2</v>
      </c>
      <c r="V49" s="12" t="s">
        <v>783</v>
      </c>
      <c r="W49" s="5" t="s">
        <v>784</v>
      </c>
      <c r="X49" s="14">
        <v>4.7E-2</v>
      </c>
      <c r="Y49" s="15" t="s">
        <v>747</v>
      </c>
      <c r="Z49" s="9" t="s">
        <v>748</v>
      </c>
      <c r="AA49" s="3">
        <v>5.3400000000000003E-2</v>
      </c>
      <c r="AB49" s="12" t="s">
        <v>783</v>
      </c>
      <c r="AC49" s="5" t="s">
        <v>784</v>
      </c>
      <c r="AD49" s="3">
        <v>5.3400000000000003E-2</v>
      </c>
      <c r="AE49" s="12" t="s">
        <v>733</v>
      </c>
      <c r="AF49" s="5" t="s">
        <v>734</v>
      </c>
      <c r="AG49" s="3">
        <v>2.0799999999999999E-2</v>
      </c>
      <c r="AH49" s="15" t="s">
        <v>749</v>
      </c>
      <c r="AI49" s="17" t="s">
        <v>750</v>
      </c>
      <c r="AJ49" s="3">
        <v>2.06E-2</v>
      </c>
      <c r="AK49" s="12" t="s">
        <v>767</v>
      </c>
      <c r="AL49" s="5" t="s">
        <v>656</v>
      </c>
      <c r="AM49" s="14">
        <v>7.0300000000000001E-2</v>
      </c>
      <c r="AN49" s="63" t="s">
        <v>744</v>
      </c>
      <c r="AO49" s="64">
        <f>SUM(AO44:AO48)</f>
        <v>1</v>
      </c>
      <c r="AP49" s="58" t="s">
        <v>681</v>
      </c>
      <c r="AQ49" s="58" t="s">
        <v>682</v>
      </c>
      <c r="AR49" s="2">
        <f>SUM(AR18:AR29)</f>
        <v>0.3196</v>
      </c>
      <c r="AS49" s="12" t="s">
        <v>785</v>
      </c>
      <c r="AT49" s="5" t="s">
        <v>786</v>
      </c>
      <c r="AU49" s="14">
        <v>5.9200000000000003E-2</v>
      </c>
      <c r="AV49" s="10" t="s">
        <v>768</v>
      </c>
      <c r="AW49" s="17" t="s">
        <v>769</v>
      </c>
      <c r="AX49" s="22">
        <v>5.0999999999999997E-2</v>
      </c>
      <c r="AY49" s="11" t="s">
        <v>759</v>
      </c>
      <c r="AZ49" s="23" t="s">
        <v>787</v>
      </c>
      <c r="BA49" s="14">
        <v>4.2799999999999998E-2</v>
      </c>
      <c r="BB49" s="13" t="s">
        <v>759</v>
      </c>
      <c r="BC49" s="13" t="s">
        <v>787</v>
      </c>
      <c r="BD49" s="21">
        <v>4.3999999999999997E-2</v>
      </c>
      <c r="BE49" s="5" t="s">
        <v>788</v>
      </c>
      <c r="BF49" s="5" t="s">
        <v>789</v>
      </c>
      <c r="BG49" s="16">
        <v>4.02E-2</v>
      </c>
      <c r="BH49" s="1"/>
      <c r="BI49" s="1"/>
      <c r="BJ49" s="1"/>
      <c r="BK49" s="1"/>
      <c r="BL49" s="1"/>
      <c r="BM49" s="1"/>
      <c r="BN49" s="1"/>
      <c r="BO49" s="1"/>
    </row>
    <row r="50" spans="1:67" x14ac:dyDescent="0.2">
      <c r="A50" s="7"/>
      <c r="B50" s="7" t="s">
        <v>744</v>
      </c>
      <c r="C50" s="8">
        <f>SUM(C45:C49)</f>
        <v>0.9998999999999999</v>
      </c>
      <c r="G50" s="2" t="s">
        <v>725</v>
      </c>
      <c r="H50" s="2" t="s">
        <v>726</v>
      </c>
      <c r="I50" s="56">
        <f>SUM(I28:I45)</f>
        <v>0.51899999999999991</v>
      </c>
      <c r="J50" s="2" t="s">
        <v>711</v>
      </c>
      <c r="K50" s="2" t="s">
        <v>712</v>
      </c>
      <c r="L50" s="2">
        <f>SUM(L11:L16)</f>
        <v>2.1000000000000001E-2</v>
      </c>
      <c r="M50" s="2" t="s">
        <v>711</v>
      </c>
      <c r="N50" s="2" t="s">
        <v>712</v>
      </c>
      <c r="O50" s="2">
        <f>SUM(O11:O16)</f>
        <v>2.1000000000000001E-2</v>
      </c>
      <c r="P50" s="2" t="s">
        <v>681</v>
      </c>
      <c r="Q50" s="2" t="s">
        <v>682</v>
      </c>
      <c r="R50" s="2">
        <f>SUM(R19:R30)</f>
        <v>0.30049999999999999</v>
      </c>
      <c r="S50" s="5" t="s">
        <v>747</v>
      </c>
      <c r="T50" s="5" t="s">
        <v>748</v>
      </c>
      <c r="U50" s="3">
        <v>4.8000000000000001E-2</v>
      </c>
      <c r="V50" s="12" t="s">
        <v>790</v>
      </c>
      <c r="W50" s="5" t="s">
        <v>791</v>
      </c>
      <c r="X50" s="14">
        <v>4.7E-2</v>
      </c>
      <c r="Y50" s="15" t="s">
        <v>763</v>
      </c>
      <c r="Z50" s="9" t="s">
        <v>764</v>
      </c>
      <c r="AA50" s="3">
        <v>5.3400000000000003E-2</v>
      </c>
      <c r="AB50" s="12" t="s">
        <v>790</v>
      </c>
      <c r="AC50" s="5" t="s">
        <v>791</v>
      </c>
      <c r="AD50" s="3">
        <v>5.3400000000000003E-2</v>
      </c>
      <c r="AE50" s="12" t="s">
        <v>749</v>
      </c>
      <c r="AF50" s="5" t="s">
        <v>750</v>
      </c>
      <c r="AG50" s="3">
        <v>2.0799999999999999E-2</v>
      </c>
      <c r="AH50" s="12" t="s">
        <v>613</v>
      </c>
      <c r="AI50" s="4" t="s">
        <v>614</v>
      </c>
      <c r="AJ50" s="3">
        <v>2.06E-2</v>
      </c>
      <c r="AK50" s="66" t="s">
        <v>665</v>
      </c>
      <c r="AL50" s="58" t="s">
        <v>666</v>
      </c>
      <c r="AM50" s="2">
        <f>SUM(AM2:AM5)</f>
        <v>1.29E-2</v>
      </c>
      <c r="AP50" s="58" t="s">
        <v>696</v>
      </c>
      <c r="AQ50" s="58" t="s">
        <v>697</v>
      </c>
      <c r="AR50" s="2">
        <f>SUM(AR12:AR17)</f>
        <v>9.3200000000000005E-2</v>
      </c>
      <c r="AS50" s="66" t="s">
        <v>665</v>
      </c>
      <c r="AT50" s="58" t="s">
        <v>666</v>
      </c>
      <c r="AU50" s="2">
        <f>SUM(AU2:AU5)</f>
        <v>1.2900000000000002E-2</v>
      </c>
      <c r="AV50" s="17" t="s">
        <v>777</v>
      </c>
      <c r="AW50" s="17" t="s">
        <v>778</v>
      </c>
      <c r="AX50" s="22">
        <v>5.0999999999999997E-2</v>
      </c>
      <c r="AY50" s="11" t="s">
        <v>772</v>
      </c>
      <c r="AZ50" s="23" t="s">
        <v>792</v>
      </c>
      <c r="BA50" s="14">
        <v>4.2799999999999998E-2</v>
      </c>
      <c r="BB50" s="13" t="s">
        <v>772</v>
      </c>
      <c r="BC50" s="13" t="s">
        <v>792</v>
      </c>
      <c r="BD50" s="21">
        <v>4.3999999999999997E-2</v>
      </c>
      <c r="BE50" s="5" t="s">
        <v>793</v>
      </c>
      <c r="BF50" s="5" t="s">
        <v>794</v>
      </c>
      <c r="BG50" s="16">
        <v>4.02E-2</v>
      </c>
      <c r="BH50" s="1"/>
      <c r="BI50" s="1"/>
      <c r="BJ50" s="1"/>
      <c r="BK50" s="1"/>
      <c r="BL50" s="1"/>
      <c r="BM50" s="1"/>
      <c r="BN50" s="1"/>
      <c r="BO50" s="1"/>
    </row>
    <row r="51" spans="1:67" x14ac:dyDescent="0.2">
      <c r="G51" s="7"/>
      <c r="H51" s="7" t="s">
        <v>744</v>
      </c>
      <c r="I51" s="8">
        <f>SUM(I46:I50)</f>
        <v>0.99979999999999991</v>
      </c>
      <c r="J51" s="2" t="s">
        <v>725</v>
      </c>
      <c r="K51" s="2" t="s">
        <v>726</v>
      </c>
      <c r="L51" s="2">
        <f>SUM(L29:L46)</f>
        <v>0.52439999999999998</v>
      </c>
      <c r="M51" s="2" t="s">
        <v>725</v>
      </c>
      <c r="N51" s="2" t="s">
        <v>726</v>
      </c>
      <c r="O51" s="2">
        <f>SUM(O29:O46)</f>
        <v>0.52439999999999998</v>
      </c>
      <c r="P51" s="2" t="s">
        <v>696</v>
      </c>
      <c r="Q51" s="2" t="s">
        <v>697</v>
      </c>
      <c r="R51" s="2">
        <f>SUM(R6:R12)</f>
        <v>0.1351</v>
      </c>
      <c r="S51" s="5" t="s">
        <v>795</v>
      </c>
      <c r="T51" s="5" t="s">
        <v>796</v>
      </c>
      <c r="U51" s="3">
        <v>4.8000000000000001E-2</v>
      </c>
      <c r="V51" s="12" t="s">
        <v>795</v>
      </c>
      <c r="W51" s="5" t="s">
        <v>796</v>
      </c>
      <c r="X51" s="14">
        <v>4.7E-2</v>
      </c>
      <c r="Y51" s="12" t="s">
        <v>774</v>
      </c>
      <c r="Z51" s="5" t="s">
        <v>775</v>
      </c>
      <c r="AA51" s="3">
        <v>5.3400000000000003E-2</v>
      </c>
      <c r="AB51" s="12" t="s">
        <v>795</v>
      </c>
      <c r="AC51" s="5" t="s">
        <v>796</v>
      </c>
      <c r="AD51" s="3">
        <v>5.3400000000000003E-2</v>
      </c>
      <c r="AE51" s="12" t="s">
        <v>613</v>
      </c>
      <c r="AF51" s="5" t="s">
        <v>614</v>
      </c>
      <c r="AG51" s="3">
        <v>2.0799999999999999E-2</v>
      </c>
      <c r="AH51" s="12" t="s">
        <v>632</v>
      </c>
      <c r="AI51" s="4" t="s">
        <v>633</v>
      </c>
      <c r="AJ51" s="3">
        <v>2.06E-2</v>
      </c>
      <c r="AK51" s="66" t="s">
        <v>681</v>
      </c>
      <c r="AL51" s="58" t="s">
        <v>682</v>
      </c>
      <c r="AM51" s="2">
        <f>SUM(AM6:AM17)</f>
        <v>0.20090000000000002</v>
      </c>
      <c r="AP51" s="58" t="s">
        <v>711</v>
      </c>
      <c r="AQ51" s="58" t="s">
        <v>712</v>
      </c>
      <c r="AR51" s="2">
        <f>SUM(AR6:AR11)</f>
        <v>2.5799999999999997E-2</v>
      </c>
      <c r="AS51" s="66" t="s">
        <v>681</v>
      </c>
      <c r="AT51" s="58" t="s">
        <v>682</v>
      </c>
      <c r="AU51" s="2">
        <f>SUM(AU20:AU31)</f>
        <v>0.33690000000000003</v>
      </c>
      <c r="AV51" s="17" t="s">
        <v>785</v>
      </c>
      <c r="AW51" s="17" t="s">
        <v>786</v>
      </c>
      <c r="AX51" s="22">
        <v>5.0999999999999997E-2</v>
      </c>
      <c r="AY51" s="5" t="s">
        <v>781</v>
      </c>
      <c r="AZ51" s="4" t="s">
        <v>797</v>
      </c>
      <c r="BA51" s="14">
        <v>4.2799999999999998E-2</v>
      </c>
      <c r="BB51" s="12" t="s">
        <v>781</v>
      </c>
      <c r="BC51" s="12" t="s">
        <v>797</v>
      </c>
      <c r="BD51" s="21">
        <v>4.3999999999999997E-2</v>
      </c>
      <c r="BE51" s="5" t="s">
        <v>798</v>
      </c>
      <c r="BF51" s="5" t="s">
        <v>799</v>
      </c>
      <c r="BG51" s="16">
        <v>4.02E-2</v>
      </c>
      <c r="BH51" s="1"/>
      <c r="BI51" s="1"/>
      <c r="BJ51" s="1"/>
      <c r="BK51" s="1"/>
      <c r="BL51" s="1"/>
      <c r="BM51" s="1"/>
      <c r="BN51" s="1"/>
      <c r="BO51" s="1"/>
    </row>
    <row r="52" spans="1:67" x14ac:dyDescent="0.2">
      <c r="J52" s="7"/>
      <c r="K52" s="7" t="s">
        <v>744</v>
      </c>
      <c r="L52" s="8">
        <f>SUM(L47:L51)</f>
        <v>1</v>
      </c>
      <c r="M52" s="7"/>
      <c r="N52" s="7" t="s">
        <v>744</v>
      </c>
      <c r="O52" s="8">
        <f>SUM(O47:O51)</f>
        <v>1</v>
      </c>
      <c r="P52" s="2" t="s">
        <v>711</v>
      </c>
      <c r="Q52" s="2" t="s">
        <v>712</v>
      </c>
      <c r="R52" s="2">
        <f>SUM(R13:R18)</f>
        <v>2.9399999999999996E-2</v>
      </c>
      <c r="S52" s="2" t="s">
        <v>665</v>
      </c>
      <c r="T52" s="2" t="s">
        <v>666</v>
      </c>
      <c r="U52" s="2">
        <f>SUM(U2:U5)</f>
        <v>6.0000000000000001E-3</v>
      </c>
      <c r="V52" s="2" t="s">
        <v>665</v>
      </c>
      <c r="W52" s="2" t="s">
        <v>666</v>
      </c>
      <c r="X52" s="2">
        <f>SUM(X2:X5)</f>
        <v>0.01</v>
      </c>
      <c r="Y52" s="5" t="s">
        <v>783</v>
      </c>
      <c r="Z52" s="5" t="s">
        <v>784</v>
      </c>
      <c r="AA52" s="3">
        <v>5.3400000000000003E-2</v>
      </c>
      <c r="AB52" s="12" t="s">
        <v>800</v>
      </c>
      <c r="AC52" s="5" t="s">
        <v>801</v>
      </c>
      <c r="AD52" s="3">
        <v>5.3400000000000003E-2</v>
      </c>
      <c r="AE52" s="12" t="s">
        <v>632</v>
      </c>
      <c r="AF52" s="5" t="s">
        <v>633</v>
      </c>
      <c r="AG52" s="3">
        <v>2.0799999999999999E-2</v>
      </c>
      <c r="AH52" s="12" t="s">
        <v>654</v>
      </c>
      <c r="AI52" s="4" t="s">
        <v>655</v>
      </c>
      <c r="AJ52" s="3">
        <v>2.06E-2</v>
      </c>
      <c r="AK52" s="66" t="s">
        <v>696</v>
      </c>
      <c r="AL52" s="58" t="s">
        <v>697</v>
      </c>
      <c r="AM52" s="2">
        <f>SUM(AM18:AM25)</f>
        <v>0.16880000000000003</v>
      </c>
      <c r="AP52" s="58" t="s">
        <v>725</v>
      </c>
      <c r="AQ52" s="58" t="s">
        <v>726</v>
      </c>
      <c r="AR52" s="2">
        <f>SUM(AR30:AR47)</f>
        <v>0.5484</v>
      </c>
      <c r="AS52" s="66" t="s">
        <v>696</v>
      </c>
      <c r="AT52" s="58" t="s">
        <v>697</v>
      </c>
      <c r="AU52" s="2">
        <f>SUM(AU12:AU19)</f>
        <v>0.14480000000000001</v>
      </c>
      <c r="AV52" s="58" t="s">
        <v>665</v>
      </c>
      <c r="AW52" s="58" t="s">
        <v>666</v>
      </c>
      <c r="AX52" s="2">
        <f>SUM(AX2:AX5)</f>
        <v>1.26E-2</v>
      </c>
      <c r="AY52" s="58" t="s">
        <v>665</v>
      </c>
      <c r="AZ52" s="58" t="s">
        <v>666</v>
      </c>
      <c r="BA52" s="56">
        <v>1.0800000000000001E-2</v>
      </c>
      <c r="BB52" s="57" t="s">
        <v>665</v>
      </c>
      <c r="BC52" s="2" t="s">
        <v>666</v>
      </c>
      <c r="BD52" s="60">
        <v>1.34E-2</v>
      </c>
      <c r="BE52" s="68" t="s">
        <v>665</v>
      </c>
      <c r="BF52" s="68" t="s">
        <v>666</v>
      </c>
      <c r="BG52" s="67">
        <v>1.32E-2</v>
      </c>
      <c r="BH52" s="1"/>
      <c r="BI52" s="1"/>
      <c r="BJ52" s="1"/>
      <c r="BK52" s="1"/>
      <c r="BL52" s="1"/>
      <c r="BM52" s="1"/>
      <c r="BN52" s="1"/>
      <c r="BO52" s="1"/>
    </row>
    <row r="53" spans="1:67" x14ac:dyDescent="0.2">
      <c r="P53" s="2" t="s">
        <v>725</v>
      </c>
      <c r="Q53" s="2" t="s">
        <v>726</v>
      </c>
      <c r="R53" s="2">
        <f>SUM(R31:R48)</f>
        <v>0.52259999999999995</v>
      </c>
      <c r="S53" s="2" t="s">
        <v>681</v>
      </c>
      <c r="T53" s="2" t="s">
        <v>682</v>
      </c>
      <c r="U53" s="2">
        <f>SUM(U19:U30)</f>
        <v>0.31</v>
      </c>
      <c r="V53" s="2" t="s">
        <v>681</v>
      </c>
      <c r="W53" s="2" t="s">
        <v>682</v>
      </c>
      <c r="X53" s="2">
        <f>SUM(X6:X17)</f>
        <v>0.30499999999999999</v>
      </c>
      <c r="Y53" s="5" t="s">
        <v>790</v>
      </c>
      <c r="Z53" s="5" t="s">
        <v>791</v>
      </c>
      <c r="AA53" s="3">
        <v>5.3400000000000003E-2</v>
      </c>
      <c r="AB53" s="12" t="s">
        <v>802</v>
      </c>
      <c r="AC53" s="5" t="s">
        <v>803</v>
      </c>
      <c r="AD53" s="3">
        <v>5.3400000000000003E-2</v>
      </c>
      <c r="AE53" s="12" t="s">
        <v>654</v>
      </c>
      <c r="AF53" s="5" t="s">
        <v>655</v>
      </c>
      <c r="AG53" s="3">
        <v>2.0799999999999999E-2</v>
      </c>
      <c r="AH53" s="12" t="s">
        <v>671</v>
      </c>
      <c r="AI53" s="4" t="s">
        <v>672</v>
      </c>
      <c r="AJ53" s="3">
        <v>2.06E-2</v>
      </c>
      <c r="AK53" s="66" t="s">
        <v>711</v>
      </c>
      <c r="AL53" s="58" t="s">
        <v>712</v>
      </c>
      <c r="AM53" s="2">
        <f>SUM(AM26:AM31)</f>
        <v>2.7799999999999998E-2</v>
      </c>
      <c r="AP53" s="63"/>
      <c r="AQ53" s="63" t="s">
        <v>744</v>
      </c>
      <c r="AR53" s="64">
        <f>SUM(AR48:AR52)</f>
        <v>1.0002</v>
      </c>
      <c r="AS53" s="66" t="s">
        <v>711</v>
      </c>
      <c r="AT53" s="58" t="s">
        <v>712</v>
      </c>
      <c r="AU53" s="2">
        <f>SUM(AU6:AU11)</f>
        <v>2.2800000000000001E-2</v>
      </c>
      <c r="AV53" s="58" t="s">
        <v>681</v>
      </c>
      <c r="AW53" s="58" t="s">
        <v>682</v>
      </c>
      <c r="AX53" s="2">
        <f>SUM(AX22:AX33)</f>
        <v>0.29580000000000001</v>
      </c>
      <c r="AY53" s="58" t="s">
        <v>681</v>
      </c>
      <c r="AZ53" s="58" t="s">
        <v>682</v>
      </c>
      <c r="BA53" s="56">
        <v>0.30480000000000002</v>
      </c>
      <c r="BB53" s="57" t="s">
        <v>681</v>
      </c>
      <c r="BC53" s="2" t="s">
        <v>682</v>
      </c>
      <c r="BD53" s="60">
        <v>0.30120000000000002</v>
      </c>
      <c r="BE53" s="61" t="s">
        <v>681</v>
      </c>
      <c r="BF53" s="61" t="s">
        <v>682</v>
      </c>
      <c r="BG53" s="62">
        <v>0.29859999999999998</v>
      </c>
      <c r="BH53" s="1"/>
      <c r="BI53" s="1"/>
      <c r="BJ53" s="1"/>
      <c r="BK53" s="1"/>
      <c r="BL53" s="1"/>
      <c r="BM53" s="1"/>
      <c r="BN53" s="1"/>
      <c r="BO53" s="1"/>
    </row>
    <row r="54" spans="1:67" x14ac:dyDescent="0.2">
      <c r="P54" s="7"/>
      <c r="Q54" s="7" t="s">
        <v>744</v>
      </c>
      <c r="R54" s="8">
        <f>SUM(R49:R53)</f>
        <v>1</v>
      </c>
      <c r="S54" s="2" t="s">
        <v>696</v>
      </c>
      <c r="T54" s="2" t="s">
        <v>697</v>
      </c>
      <c r="U54" s="2">
        <f>SUM(U6:U11)</f>
        <v>0.13499999999999998</v>
      </c>
      <c r="V54" s="2" t="s">
        <v>696</v>
      </c>
      <c r="W54" s="2" t="s">
        <v>697</v>
      </c>
      <c r="X54" s="2">
        <f>SUM(X18:X23)</f>
        <v>0.12240000000000001</v>
      </c>
      <c r="Y54" s="5" t="s">
        <v>795</v>
      </c>
      <c r="Z54" s="5" t="s">
        <v>796</v>
      </c>
      <c r="AA54" s="3">
        <v>5.3400000000000003E-2</v>
      </c>
      <c r="AB54" s="12" t="s">
        <v>804</v>
      </c>
      <c r="AC54" s="5" t="s">
        <v>805</v>
      </c>
      <c r="AD54" s="3">
        <v>5.3400000000000003E-2</v>
      </c>
      <c r="AE54" s="12" t="s">
        <v>671</v>
      </c>
      <c r="AF54" s="5" t="s">
        <v>672</v>
      </c>
      <c r="AG54" s="3">
        <v>2.0799999999999999E-2</v>
      </c>
      <c r="AH54" s="12" t="s">
        <v>687</v>
      </c>
      <c r="AI54" s="4" t="s">
        <v>548</v>
      </c>
      <c r="AJ54" s="3">
        <v>2.06E-2</v>
      </c>
      <c r="AK54" s="66" t="s">
        <v>725</v>
      </c>
      <c r="AL54" s="58" t="s">
        <v>726</v>
      </c>
      <c r="AM54" s="2">
        <f>SUM(AM32:AM49)</f>
        <v>0.58979999999999999</v>
      </c>
      <c r="AS54" s="58" t="s">
        <v>725</v>
      </c>
      <c r="AT54" s="58" t="s">
        <v>726</v>
      </c>
      <c r="AU54" s="2">
        <f>SUM(AU32:AU49)</f>
        <v>0.48240000000000005</v>
      </c>
      <c r="AV54" s="58" t="s">
        <v>696</v>
      </c>
      <c r="AW54" s="58" t="s">
        <v>697</v>
      </c>
      <c r="AX54" s="2">
        <f>SUM(AX12:AX19)</f>
        <v>0.15359999999999999</v>
      </c>
      <c r="AY54" s="58" t="s">
        <v>696</v>
      </c>
      <c r="AZ54" s="58" t="s">
        <v>697</v>
      </c>
      <c r="BA54" s="56">
        <v>0.13689999999999999</v>
      </c>
      <c r="BB54" s="57" t="s">
        <v>696</v>
      </c>
      <c r="BC54" s="2" t="s">
        <v>697</v>
      </c>
      <c r="BD54" s="60">
        <v>0.1055</v>
      </c>
      <c r="BE54" s="61" t="s">
        <v>806</v>
      </c>
      <c r="BF54" s="61" t="s">
        <v>697</v>
      </c>
      <c r="BG54" s="62">
        <v>4.02E-2</v>
      </c>
      <c r="BH54" s="1"/>
      <c r="BI54" s="1"/>
      <c r="BJ54" s="1"/>
      <c r="BK54" s="1"/>
      <c r="BL54" s="1"/>
      <c r="BM54" s="1"/>
      <c r="BN54" s="1"/>
      <c r="BO54" s="1"/>
    </row>
    <row r="55" spans="1:67" x14ac:dyDescent="0.2">
      <c r="S55" s="2" t="s">
        <v>711</v>
      </c>
      <c r="T55" s="2" t="s">
        <v>712</v>
      </c>
      <c r="U55" s="2">
        <f>SUM(U12:U18)</f>
        <v>1.7299999999999999E-2</v>
      </c>
      <c r="V55" s="2" t="s">
        <v>711</v>
      </c>
      <c r="W55" s="2" t="s">
        <v>712</v>
      </c>
      <c r="X55" s="2">
        <f>SUM(X24:X30)</f>
        <v>3.3800000000000004E-2</v>
      </c>
      <c r="Y55" s="5" t="s">
        <v>802</v>
      </c>
      <c r="Z55" s="5" t="s">
        <v>803</v>
      </c>
      <c r="AA55" s="3">
        <v>5.3400000000000003E-2</v>
      </c>
      <c r="AB55" s="12" t="s">
        <v>717</v>
      </c>
      <c r="AC55" s="5" t="s">
        <v>718</v>
      </c>
      <c r="AD55" s="3">
        <v>5.3400000000000003E-2</v>
      </c>
      <c r="AE55" s="15" t="s">
        <v>783</v>
      </c>
      <c r="AF55" s="9" t="s">
        <v>784</v>
      </c>
      <c r="AG55" s="3">
        <v>4.1500000000000002E-2</v>
      </c>
      <c r="AH55" s="12" t="s">
        <v>674</v>
      </c>
      <c r="AI55" s="4" t="s">
        <v>565</v>
      </c>
      <c r="AJ55" s="3">
        <v>2.06E-2</v>
      </c>
      <c r="AK55" s="69"/>
      <c r="AL55" s="63" t="s">
        <v>744</v>
      </c>
      <c r="AM55" s="64">
        <f>SUM(AM50:AM54)</f>
        <v>1.0002</v>
      </c>
      <c r="AS55" s="63"/>
      <c r="AT55" s="63" t="s">
        <v>744</v>
      </c>
      <c r="AU55" s="64">
        <f>SUM(AU50:AU54)</f>
        <v>0.99980000000000013</v>
      </c>
      <c r="AV55" s="58" t="s">
        <v>807</v>
      </c>
      <c r="AW55" s="58" t="s">
        <v>808</v>
      </c>
      <c r="AX55" s="2">
        <f>SUM(AX20:AX21)</f>
        <v>6.4000000000000003E-3</v>
      </c>
      <c r="AY55" s="58" t="s">
        <v>807</v>
      </c>
      <c r="AZ55" s="58" t="s">
        <v>808</v>
      </c>
      <c r="BA55" s="56">
        <v>1.7100000000000001E-2</v>
      </c>
      <c r="BB55" s="57" t="s">
        <v>807</v>
      </c>
      <c r="BC55" s="2" t="s">
        <v>808</v>
      </c>
      <c r="BD55" s="60">
        <v>3.5200000000000002E-2</v>
      </c>
      <c r="BE55" s="61" t="s">
        <v>809</v>
      </c>
      <c r="BF55" s="61" t="s">
        <v>810</v>
      </c>
      <c r="BG55" s="62">
        <v>0.1004</v>
      </c>
      <c r="BH55" s="1"/>
      <c r="BI55" s="1"/>
      <c r="BJ55" s="1"/>
      <c r="BK55" s="1"/>
      <c r="BL55" s="1"/>
      <c r="BM55" s="1"/>
      <c r="BN55" s="1"/>
      <c r="BO55" s="1"/>
    </row>
    <row r="56" spans="1:67" x14ac:dyDescent="0.2">
      <c r="S56" s="2" t="s">
        <v>725</v>
      </c>
      <c r="T56" s="2" t="s">
        <v>726</v>
      </c>
      <c r="U56" s="2">
        <f>SUM(U31:U51)</f>
        <v>0.53149999999999997</v>
      </c>
      <c r="V56" s="2" t="s">
        <v>725</v>
      </c>
      <c r="W56" s="2" t="s">
        <v>726</v>
      </c>
      <c r="X56" s="2">
        <f>SUM(X31:X51)</f>
        <v>0.52929999999999988</v>
      </c>
      <c r="Y56" s="2" t="s">
        <v>665</v>
      </c>
      <c r="Z56" s="2" t="s">
        <v>666</v>
      </c>
      <c r="AA56" s="2">
        <f>SUM(AA2:AA5)</f>
        <v>0.01</v>
      </c>
      <c r="AB56" s="2" t="s">
        <v>665</v>
      </c>
      <c r="AC56" s="2" t="s">
        <v>666</v>
      </c>
      <c r="AD56" s="2">
        <f>SUM(AD2:AD5)</f>
        <v>0.01</v>
      </c>
      <c r="AE56" s="9" t="s">
        <v>790</v>
      </c>
      <c r="AF56" s="9" t="s">
        <v>791</v>
      </c>
      <c r="AG56" s="3">
        <v>4.1500000000000002E-2</v>
      </c>
      <c r="AH56" s="15" t="s">
        <v>795</v>
      </c>
      <c r="AI56" s="17" t="s">
        <v>796</v>
      </c>
      <c r="AJ56" s="3">
        <v>4.0899999999999999E-2</v>
      </c>
      <c r="AV56" s="58" t="s">
        <v>711</v>
      </c>
      <c r="AW56" s="58" t="s">
        <v>712</v>
      </c>
      <c r="AX56" s="2">
        <f>SUM(AX6:AX11)</f>
        <v>2.46E-2</v>
      </c>
      <c r="AY56" s="58" t="s">
        <v>711</v>
      </c>
      <c r="AZ56" s="58" t="s">
        <v>712</v>
      </c>
      <c r="BA56" s="56">
        <v>2.3699999999999999E-2</v>
      </c>
      <c r="BB56" s="57" t="s">
        <v>711</v>
      </c>
      <c r="BC56" s="2" t="s">
        <v>712</v>
      </c>
      <c r="BD56" s="60">
        <v>2.4199999999999999E-2</v>
      </c>
      <c r="BE56" s="61" t="s">
        <v>711</v>
      </c>
      <c r="BF56" s="61" t="s">
        <v>712</v>
      </c>
      <c r="BG56" s="62">
        <v>2.4199999999999999E-2</v>
      </c>
      <c r="BH56" s="1"/>
      <c r="BI56" s="1"/>
      <c r="BJ56" s="1"/>
      <c r="BK56" s="1"/>
      <c r="BL56" s="1"/>
      <c r="BM56" s="1"/>
      <c r="BN56" s="1"/>
      <c r="BO56" s="1"/>
    </row>
    <row r="57" spans="1:67" x14ac:dyDescent="0.2">
      <c r="S57" s="7"/>
      <c r="T57" s="7" t="s">
        <v>744</v>
      </c>
      <c r="U57" s="8">
        <f>SUM(U52:U56)</f>
        <v>0.99979999999999991</v>
      </c>
      <c r="V57" s="7"/>
      <c r="W57" s="7" t="s">
        <v>744</v>
      </c>
      <c r="X57" s="8">
        <f>SUM(X52:X56)</f>
        <v>1.0004999999999999</v>
      </c>
      <c r="Y57" s="2" t="s">
        <v>681</v>
      </c>
      <c r="Z57" s="2" t="s">
        <v>682</v>
      </c>
      <c r="AA57" s="2">
        <f>SUM(AA6:AA17)</f>
        <v>0.21439999999999998</v>
      </c>
      <c r="AB57" s="2" t="s">
        <v>681</v>
      </c>
      <c r="AC57" s="2" t="s">
        <v>682</v>
      </c>
      <c r="AD57" s="2">
        <f>SUM(AD6:AD17)</f>
        <v>0.21439999999999998</v>
      </c>
      <c r="AE57" s="5" t="s">
        <v>795</v>
      </c>
      <c r="AF57" s="5" t="s">
        <v>796</v>
      </c>
      <c r="AG57" s="3">
        <v>4.1500000000000002E-2</v>
      </c>
      <c r="AH57" s="15" t="s">
        <v>800</v>
      </c>
      <c r="AI57" s="17" t="s">
        <v>801</v>
      </c>
      <c r="AJ57" s="3">
        <v>4.0899999999999999E-2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58" t="s">
        <v>725</v>
      </c>
      <c r="AW57" s="58" t="s">
        <v>726</v>
      </c>
      <c r="AX57" s="2">
        <f>SUM(AX34:AX51)</f>
        <v>0.50759999999999994</v>
      </c>
      <c r="AY57" s="58" t="s">
        <v>725</v>
      </c>
      <c r="AZ57" s="58" t="s">
        <v>726</v>
      </c>
      <c r="BA57" s="56">
        <v>0.50660000000000005</v>
      </c>
      <c r="BB57" s="57" t="s">
        <v>725</v>
      </c>
      <c r="BC57" s="2" t="s">
        <v>726</v>
      </c>
      <c r="BD57" s="60">
        <v>0.52049999999999996</v>
      </c>
      <c r="BE57" s="61" t="s">
        <v>725</v>
      </c>
      <c r="BF57" s="61" t="s">
        <v>726</v>
      </c>
      <c r="BG57" s="62">
        <v>0.52339999999999998</v>
      </c>
      <c r="BH57" s="1"/>
      <c r="BI57" s="1"/>
      <c r="BJ57" s="1"/>
      <c r="BK57" s="1"/>
      <c r="BL57" s="1"/>
      <c r="BM57" s="1"/>
      <c r="BN57" s="1"/>
      <c r="BO57" s="1"/>
    </row>
    <row r="58" spans="1:67" x14ac:dyDescent="0.2">
      <c r="Y58" s="2" t="s">
        <v>696</v>
      </c>
      <c r="Z58" s="2" t="s">
        <v>697</v>
      </c>
      <c r="AA58" s="2">
        <f>SUM(AA18:AA23)</f>
        <v>8.7000000000000008E-2</v>
      </c>
      <c r="AB58" s="2" t="s">
        <v>696</v>
      </c>
      <c r="AC58" s="2" t="s">
        <v>697</v>
      </c>
      <c r="AD58" s="2">
        <f>SUM(AD18:AD23)</f>
        <v>8.7000000000000008E-2</v>
      </c>
      <c r="AE58" s="5" t="s">
        <v>800</v>
      </c>
      <c r="AF58" s="5" t="s">
        <v>801</v>
      </c>
      <c r="AG58" s="3">
        <v>4.1500000000000002E-2</v>
      </c>
      <c r="AH58" s="15" t="s">
        <v>802</v>
      </c>
      <c r="AI58" s="17" t="s">
        <v>803</v>
      </c>
      <c r="AJ58" s="3">
        <v>4.0899999999999999E-2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63"/>
      <c r="AW58" s="63" t="s">
        <v>744</v>
      </c>
      <c r="AX58" s="64">
        <f>SUM(AX52:AX57)</f>
        <v>1.0005999999999999</v>
      </c>
      <c r="AY58" s="63"/>
      <c r="AZ58" s="63" t="s">
        <v>744</v>
      </c>
      <c r="BA58" s="64">
        <f>SUM(BA52:BA57)</f>
        <v>0.99990000000000001</v>
      </c>
      <c r="BB58" s="65"/>
      <c r="BC58" s="61" t="s">
        <v>744</v>
      </c>
      <c r="BD58" s="64">
        <f>SUM(BD52:BD57)</f>
        <v>1</v>
      </c>
      <c r="BE58" s="61"/>
      <c r="BF58" s="61" t="s">
        <v>744</v>
      </c>
      <c r="BG58" s="64">
        <f>SUM(BG52:BG57)</f>
        <v>1</v>
      </c>
      <c r="BH58" s="1"/>
      <c r="BI58" s="1"/>
      <c r="BJ58" s="1"/>
      <c r="BK58" s="1"/>
      <c r="BL58" s="1"/>
      <c r="BM58" s="1"/>
      <c r="BN58" s="1"/>
      <c r="BO58" s="1"/>
    </row>
    <row r="59" spans="1:67" x14ac:dyDescent="0.2">
      <c r="Y59" s="2" t="s">
        <v>711</v>
      </c>
      <c r="Z59" s="2" t="s">
        <v>712</v>
      </c>
      <c r="AA59" s="2">
        <f>SUM(AA24:AA31)</f>
        <v>2.3999999999999997E-2</v>
      </c>
      <c r="AB59" s="2" t="s">
        <v>711</v>
      </c>
      <c r="AC59" s="2" t="s">
        <v>712</v>
      </c>
      <c r="AD59" s="2">
        <f>SUM(AD24:AD31)</f>
        <v>2.3999999999999997E-2</v>
      </c>
      <c r="AE59" s="5" t="s">
        <v>802</v>
      </c>
      <c r="AF59" s="5" t="s">
        <v>803</v>
      </c>
      <c r="AG59" s="3">
        <v>4.1500000000000002E-2</v>
      </c>
      <c r="AH59" s="15" t="s">
        <v>804</v>
      </c>
      <c r="AI59" s="17" t="s">
        <v>805</v>
      </c>
      <c r="AJ59" s="3">
        <v>4.0899999999999999E-2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</row>
    <row r="60" spans="1:67" x14ac:dyDescent="0.2">
      <c r="Y60" s="2" t="s">
        <v>725</v>
      </c>
      <c r="Z60" s="2" t="s">
        <v>726</v>
      </c>
      <c r="AA60" s="2">
        <f>SUM(AA32:AA55)</f>
        <v>0.66400000000000003</v>
      </c>
      <c r="AB60" s="2" t="s">
        <v>725</v>
      </c>
      <c r="AC60" s="2" t="s">
        <v>726</v>
      </c>
      <c r="AD60" s="2">
        <f>SUM(AD32:AD55)</f>
        <v>0.66400000000000003</v>
      </c>
      <c r="AE60" s="5" t="s">
        <v>804</v>
      </c>
      <c r="AF60" s="5" t="s">
        <v>805</v>
      </c>
      <c r="AG60" s="3">
        <v>4.1500000000000002E-2</v>
      </c>
      <c r="AH60" s="12" t="s">
        <v>717</v>
      </c>
      <c r="AI60" s="4" t="s">
        <v>718</v>
      </c>
      <c r="AJ60" s="3">
        <v>4.0899999999999999E-2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</row>
    <row r="61" spans="1:67" x14ac:dyDescent="0.2">
      <c r="Y61" s="7"/>
      <c r="Z61" s="7" t="s">
        <v>744</v>
      </c>
      <c r="AA61" s="8">
        <f>SUM(AA56:AA60)</f>
        <v>0.99940000000000007</v>
      </c>
      <c r="AB61" s="7"/>
      <c r="AC61" s="7" t="s">
        <v>744</v>
      </c>
      <c r="AD61" s="8">
        <f>SUM(AD56:AD60)</f>
        <v>0.99940000000000007</v>
      </c>
      <c r="AE61" s="5" t="s">
        <v>717</v>
      </c>
      <c r="AF61" s="5" t="s">
        <v>718</v>
      </c>
      <c r="AG61" s="3">
        <v>4.1500000000000002E-2</v>
      </c>
      <c r="AH61" s="12" t="s">
        <v>735</v>
      </c>
      <c r="AI61" s="4" t="s">
        <v>736</v>
      </c>
      <c r="AJ61" s="3">
        <v>4.0899999999999999E-2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</row>
    <row r="62" spans="1:67" x14ac:dyDescent="0.2">
      <c r="AE62" s="5" t="s">
        <v>735</v>
      </c>
      <c r="AF62" s="5" t="s">
        <v>736</v>
      </c>
      <c r="AG62" s="3">
        <v>4.1500000000000002E-2</v>
      </c>
      <c r="AH62" s="12" t="s">
        <v>751</v>
      </c>
      <c r="AI62" s="4" t="s">
        <v>752</v>
      </c>
      <c r="AJ62" s="3">
        <v>4.0899999999999999E-2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</row>
    <row r="63" spans="1:67" x14ac:dyDescent="0.2">
      <c r="AE63" s="5" t="s">
        <v>751</v>
      </c>
      <c r="AF63" s="5" t="s">
        <v>752</v>
      </c>
      <c r="AG63" s="3">
        <v>4.1500000000000002E-2</v>
      </c>
      <c r="AH63" s="12" t="s">
        <v>765</v>
      </c>
      <c r="AI63" s="4" t="s">
        <v>766</v>
      </c>
      <c r="AJ63" s="3">
        <v>4.0899999999999999E-2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</row>
    <row r="64" spans="1:67" x14ac:dyDescent="0.2">
      <c r="AE64" s="5" t="s">
        <v>765</v>
      </c>
      <c r="AF64" s="5" t="s">
        <v>766</v>
      </c>
      <c r="AG64" s="3">
        <v>4.1500000000000002E-2</v>
      </c>
      <c r="AH64" s="12" t="s">
        <v>776</v>
      </c>
      <c r="AI64" s="4" t="s">
        <v>634</v>
      </c>
      <c r="AJ64" s="3">
        <v>4.0899999999999999E-2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</row>
    <row r="65" spans="1:67" x14ac:dyDescent="0.2">
      <c r="AE65" s="2" t="s">
        <v>665</v>
      </c>
      <c r="AF65" s="2" t="s">
        <v>666</v>
      </c>
      <c r="AG65" s="2">
        <f>SUM(AG2:AG5)</f>
        <v>0.01</v>
      </c>
      <c r="AH65" s="5" t="s">
        <v>767</v>
      </c>
      <c r="AI65" s="4" t="s">
        <v>656</v>
      </c>
      <c r="AJ65" s="3">
        <v>4.0899999999999999E-2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</row>
    <row r="66" spans="1:67" x14ac:dyDescent="0.2">
      <c r="AE66" s="2" t="s">
        <v>681</v>
      </c>
      <c r="AF66" s="2" t="s">
        <v>682</v>
      </c>
      <c r="AG66" s="2">
        <f>SUM(AG6:AG17)</f>
        <v>0.20279999999999998</v>
      </c>
      <c r="AH66" s="2" t="s">
        <v>665</v>
      </c>
      <c r="AI66" s="2" t="s">
        <v>666</v>
      </c>
      <c r="AJ66" s="6">
        <f>SUM(AJ2:AJ5)</f>
        <v>0.01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</row>
    <row r="67" spans="1:67" x14ac:dyDescent="0.2">
      <c r="AE67" s="2" t="s">
        <v>696</v>
      </c>
      <c r="AF67" s="2" t="s">
        <v>697</v>
      </c>
      <c r="AG67" s="2">
        <f>SUM(AG18:AG25)</f>
        <v>9.1400000000000009E-2</v>
      </c>
      <c r="AH67" s="2" t="s">
        <v>681</v>
      </c>
      <c r="AI67" s="2" t="s">
        <v>682</v>
      </c>
      <c r="AJ67" s="2">
        <f>SUM(AJ6:AJ17)</f>
        <v>0.2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</row>
    <row r="68" spans="1:67" x14ac:dyDescent="0.2">
      <c r="AE68" s="2" t="s">
        <v>711</v>
      </c>
      <c r="AF68" s="2" t="s">
        <v>712</v>
      </c>
      <c r="AG68" s="2">
        <f>SUM(AG25:AG34)</f>
        <v>2.4999999999999998E-2</v>
      </c>
      <c r="AH68" s="2" t="s">
        <v>696</v>
      </c>
      <c r="AI68" s="2" t="s">
        <v>697</v>
      </c>
      <c r="AJ68" s="2">
        <f>SUM(AJ18:AJ25)</f>
        <v>9.9999999999999992E-2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</row>
    <row r="69" spans="1:67" x14ac:dyDescent="0.2">
      <c r="AE69" s="2" t="s">
        <v>725</v>
      </c>
      <c r="AF69" s="2" t="s">
        <v>726</v>
      </c>
      <c r="AG69" s="2">
        <f>SUM(AG35:AG64)</f>
        <v>0.67399999999999971</v>
      </c>
      <c r="AH69" s="2" t="s">
        <v>711</v>
      </c>
      <c r="AI69" s="2" t="s">
        <v>712</v>
      </c>
      <c r="AJ69" s="2">
        <f>SUM(AJ26:AJ35)</f>
        <v>2.4999999999999998E-2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</row>
    <row r="70" spans="1:67" x14ac:dyDescent="0.2">
      <c r="AE70" s="7"/>
      <c r="AF70" s="7" t="s">
        <v>744</v>
      </c>
      <c r="AG70" s="8">
        <f>SUM(AG65:AG69)</f>
        <v>1.0031999999999996</v>
      </c>
      <c r="AH70" s="2" t="s">
        <v>725</v>
      </c>
      <c r="AI70" s="2" t="s">
        <v>726</v>
      </c>
      <c r="AJ70" s="2">
        <f>SUM(AJ36:AJ65)</f>
        <v>0.66500000000000026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</row>
    <row r="71" spans="1:67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7"/>
      <c r="AI71" s="7" t="s">
        <v>744</v>
      </c>
      <c r="AJ71" s="8">
        <f>SUM(AJ66:AJ70)</f>
        <v>1.0000000000000002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</row>
    <row r="72" spans="1:6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</row>
    <row r="73" spans="1:67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</row>
    <row r="74" spans="1:67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</row>
    <row r="75" spans="1:6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</row>
    <row r="76" spans="1:67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</row>
    <row r="77" spans="1:67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</row>
    <row r="78" spans="1:6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</row>
    <row r="79" spans="1:67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</row>
    <row r="80" spans="1:67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</row>
    <row r="81" spans="1:6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</row>
    <row r="82" spans="1:6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</row>
    <row r="83" spans="1:67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</row>
    <row r="84" spans="1:6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</row>
    <row r="85" spans="1:6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</row>
    <row r="86" spans="1:6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</row>
    <row r="87" spans="1:6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</row>
    <row r="88" spans="1:67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</row>
    <row r="89" spans="1:67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</row>
    <row r="90" spans="1:67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</row>
    <row r="91" spans="1:67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</row>
    <row r="92" spans="1:67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</row>
    <row r="93" spans="1:6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</row>
    <row r="94" spans="1:67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</row>
    <row r="95" spans="1:67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</row>
    <row r="96" spans="1:67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</row>
    <row r="97" spans="1:67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</row>
    <row r="98" spans="1:67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</row>
    <row r="99" spans="1:67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</row>
    <row r="100" spans="1:67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</row>
    <row r="101" spans="1:67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</row>
    <row r="102" spans="1:67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</row>
    <row r="103" spans="1:67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</row>
    <row r="104" spans="1:67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</row>
    <row r="105" spans="1:67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</row>
    <row r="106" spans="1:67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</row>
    <row r="107" spans="1:67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</row>
    <row r="108" spans="1:67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</row>
    <row r="109" spans="1:67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</row>
    <row r="110" spans="1:67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</row>
    <row r="111" spans="1:67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</row>
    <row r="112" spans="1:67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</row>
    <row r="113" spans="1:67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</row>
    <row r="114" spans="1:67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</row>
    <row r="115" spans="1:67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</row>
    <row r="116" spans="1:67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</row>
    <row r="117" spans="1:67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</row>
    <row r="118" spans="1:67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</row>
    <row r="119" spans="1:67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</row>
    <row r="120" spans="1:67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</row>
    <row r="121" spans="1:67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</row>
    <row r="122" spans="1:67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</row>
    <row r="123" spans="1:67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</row>
    <row r="124" spans="1:67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</row>
    <row r="125" spans="1:67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</row>
    <row r="126" spans="1:67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</row>
    <row r="127" spans="1:67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</row>
    <row r="128" spans="1:67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</row>
    <row r="129" spans="1:67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</row>
    <row r="130" spans="1:67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</row>
    <row r="131" spans="1:67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</row>
    <row r="132" spans="1:67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</row>
    <row r="133" spans="1:67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</row>
    <row r="134" spans="1:67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</row>
    <row r="135" spans="1:67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</row>
    <row r="136" spans="1:67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</row>
    <row r="137" spans="1:67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</row>
    <row r="138" spans="1:67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</row>
    <row r="139" spans="1:67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</row>
    <row r="140" spans="1:67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</row>
    <row r="141" spans="1:67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</row>
    <row r="142" spans="1:67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</row>
    <row r="143" spans="1:67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</row>
    <row r="144" spans="1:67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</row>
    <row r="145" spans="1:67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</row>
    <row r="146" spans="1:67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</row>
    <row r="147" spans="1:67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</row>
    <row r="148" spans="1:67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</row>
    <row r="149" spans="1:67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</row>
    <row r="150" spans="1:67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</row>
    <row r="151" spans="1:67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</row>
    <row r="152" spans="1:67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</row>
    <row r="153" spans="1:67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</row>
    <row r="154" spans="1:67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</row>
    <row r="155" spans="1:67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</row>
    <row r="156" spans="1:67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</row>
    <row r="157" spans="1:67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</row>
    <row r="158" spans="1:67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</row>
    <row r="159" spans="1:67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</row>
    <row r="160" spans="1:67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</row>
    <row r="161" spans="1:67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</row>
    <row r="162" spans="1:67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</row>
    <row r="163" spans="1:67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</row>
    <row r="164" spans="1:67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</row>
    <row r="165" spans="1:67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</row>
    <row r="166" spans="1:67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</row>
    <row r="167" spans="1:67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</row>
    <row r="168" spans="1:67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</row>
    <row r="169" spans="1:67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</row>
    <row r="170" spans="1:67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</row>
    <row r="171" spans="1:67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</row>
    <row r="172" spans="1:67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</row>
    <row r="173" spans="1:67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</row>
    <row r="174" spans="1:67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</row>
    <row r="175" spans="1:67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</row>
    <row r="176" spans="1:67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</row>
    <row r="177" spans="1:67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</row>
    <row r="178" spans="1:67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</row>
    <row r="179" spans="1:67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</row>
    <row r="180" spans="1:67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</row>
    <row r="181" spans="1:67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</row>
    <row r="182" spans="1:67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</row>
    <row r="183" spans="1:67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</row>
    <row r="184" spans="1:67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</row>
    <row r="185" spans="1:67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</row>
    <row r="186" spans="1:67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</row>
    <row r="187" spans="1:67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</row>
    <row r="188" spans="1:67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</row>
    <row r="189" spans="1:67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</row>
    <row r="190" spans="1:67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</row>
    <row r="191" spans="1:67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</row>
    <row r="192" spans="1:67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</row>
    <row r="193" spans="1:67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</row>
    <row r="194" spans="1:67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</row>
    <row r="195" spans="1:67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</row>
    <row r="196" spans="1:67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</row>
    <row r="197" spans="1:67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</row>
    <row r="198" spans="1:67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</row>
    <row r="199" spans="1:67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</row>
    <row r="200" spans="1:67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</row>
    <row r="201" spans="1:67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</row>
    <row r="202" spans="1:67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</row>
    <row r="203" spans="1:67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</row>
    <row r="204" spans="1:67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</row>
    <row r="205" spans="1:67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</row>
    <row r="206" spans="1:67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</row>
    <row r="207" spans="1:67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</row>
    <row r="208" spans="1:67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</row>
    <row r="209" spans="1:67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</row>
    <row r="210" spans="1:67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</row>
    <row r="211" spans="1:67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</row>
    <row r="212" spans="1:67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</row>
    <row r="213" spans="1:67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</row>
    <row r="214" spans="1:67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</row>
    <row r="215" spans="1:67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</row>
    <row r="216" spans="1:67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</row>
    <row r="217" spans="1:67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</row>
    <row r="218" spans="1:67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</row>
    <row r="219" spans="1:67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</row>
    <row r="220" spans="1:67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</row>
    <row r="221" spans="1:67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</row>
    <row r="222" spans="1:67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</row>
    <row r="223" spans="1:67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</row>
    <row r="224" spans="1:67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</row>
    <row r="225" spans="1:67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</row>
    <row r="226" spans="1:67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</row>
    <row r="227" spans="1:67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</row>
    <row r="228" spans="1:67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</row>
    <row r="229" spans="1:67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</row>
    <row r="230" spans="1:67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</row>
    <row r="231" spans="1:67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</row>
    <row r="232" spans="1:67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</row>
    <row r="233" spans="1:67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</row>
    <row r="234" spans="1:67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</row>
    <row r="235" spans="1:67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</row>
    <row r="236" spans="1:67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</row>
    <row r="237" spans="1:67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</row>
    <row r="238" spans="1:67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</row>
    <row r="239" spans="1:67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</row>
    <row r="240" spans="1:67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</row>
    <row r="241" spans="1:67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</row>
    <row r="242" spans="1:67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</row>
    <row r="243" spans="1:67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</row>
    <row r="244" spans="1:67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</row>
    <row r="245" spans="1:67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</row>
    <row r="246" spans="1:67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</row>
    <row r="247" spans="1:67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</row>
    <row r="248" spans="1:67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</row>
    <row r="249" spans="1:67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</row>
    <row r="250" spans="1:67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</row>
    <row r="251" spans="1:67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</row>
    <row r="252" spans="1:67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</row>
    <row r="253" spans="1:67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</row>
    <row r="254" spans="1:67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</row>
    <row r="255" spans="1:67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</row>
    <row r="256" spans="1:67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</row>
    <row r="257" spans="1:67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</row>
    <row r="258" spans="1:67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</row>
    <row r="259" spans="1:67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</row>
    <row r="260" spans="1:67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</row>
    <row r="261" spans="1:67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</row>
    <row r="262" spans="1:67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</row>
    <row r="263" spans="1:67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</row>
    <row r="264" spans="1:67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</row>
    <row r="265" spans="1:67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</row>
    <row r="266" spans="1:67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</row>
    <row r="267" spans="1:67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</row>
    <row r="268" spans="1:67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</row>
    <row r="269" spans="1:67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</row>
    <row r="270" spans="1:67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</row>
    <row r="271" spans="1:67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</row>
    <row r="272" spans="1:67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</row>
    <row r="273" spans="1:67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</row>
    <row r="274" spans="1:67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</row>
    <row r="275" spans="1:67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</row>
    <row r="276" spans="1:67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</row>
    <row r="277" spans="1:67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</row>
    <row r="278" spans="1:67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</row>
    <row r="279" spans="1:67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</row>
    <row r="280" spans="1:67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</row>
    <row r="281" spans="1:67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</row>
    <row r="282" spans="1:67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</row>
    <row r="283" spans="1:67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</row>
    <row r="284" spans="1:67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</row>
    <row r="285" spans="1:67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</row>
    <row r="286" spans="1:67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</row>
    <row r="287" spans="1:67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</row>
    <row r="288" spans="1:67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</row>
    <row r="289" spans="1:67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</row>
    <row r="290" spans="1:67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</row>
    <row r="291" spans="1:67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</row>
    <row r="292" spans="1:67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</row>
    <row r="293" spans="1:67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</row>
    <row r="294" spans="1:67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</row>
    <row r="295" spans="1:67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</row>
    <row r="296" spans="1:67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</row>
    <row r="297" spans="1:67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</row>
    <row r="298" spans="1:67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</row>
    <row r="299" spans="1:67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</row>
    <row r="300" spans="1:67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</row>
    <row r="301" spans="1:67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</row>
    <row r="302" spans="1:67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</row>
    <row r="303" spans="1:67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</row>
    <row r="304" spans="1:67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</row>
    <row r="305" spans="1:67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</row>
    <row r="306" spans="1:67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</row>
    <row r="307" spans="1:67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</row>
    <row r="308" spans="1:67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</row>
    <row r="309" spans="1:67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</row>
    <row r="310" spans="1:67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</row>
    <row r="311" spans="1:67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</row>
    <row r="312" spans="1:67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</row>
    <row r="313" spans="1:67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</row>
    <row r="314" spans="1:67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</row>
    <row r="315" spans="1:67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</row>
    <row r="316" spans="1:67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</row>
    <row r="317" spans="1:67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</row>
    <row r="318" spans="1:67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</row>
    <row r="319" spans="1:67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</row>
    <row r="320" spans="1:67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</row>
    <row r="321" spans="1:67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</row>
    <row r="322" spans="1:67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</row>
    <row r="323" spans="1:67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</row>
    <row r="324" spans="1:67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</row>
    <row r="325" spans="1:67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</row>
    <row r="326" spans="1:67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</row>
    <row r="327" spans="1:67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</row>
    <row r="328" spans="1:67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</row>
    <row r="329" spans="1:67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</row>
    <row r="330" spans="1:67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</row>
    <row r="331" spans="1:67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</row>
    <row r="332" spans="1:67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</row>
    <row r="333" spans="1:67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</row>
    <row r="334" spans="1:67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</row>
    <row r="335" spans="1:67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</row>
    <row r="336" spans="1:67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</row>
    <row r="337" spans="1:67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</row>
    <row r="338" spans="1:67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</row>
    <row r="339" spans="1:67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</row>
    <row r="340" spans="1:67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</row>
    <row r="341" spans="1:67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</row>
    <row r="342" spans="1:67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</row>
    <row r="343" spans="1:67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</row>
    <row r="344" spans="1:67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</row>
    <row r="345" spans="1:67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</row>
    <row r="346" spans="1:67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</row>
    <row r="347" spans="1:67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</row>
    <row r="348" spans="1:67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</row>
    <row r="349" spans="1:67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</row>
    <row r="350" spans="1:67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</row>
    <row r="351" spans="1:67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</row>
    <row r="352" spans="1:67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</row>
    <row r="353" spans="1:67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</row>
    <row r="354" spans="1:67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</row>
    <row r="355" spans="1:67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</row>
    <row r="356" spans="1:67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</row>
    <row r="357" spans="1:67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</row>
    <row r="358" spans="1:67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</row>
    <row r="359" spans="1:67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</row>
    <row r="360" spans="1:67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</row>
    <row r="361" spans="1:67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</row>
    <row r="362" spans="1:67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</row>
    <row r="363" spans="1:67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</row>
    <row r="364" spans="1:67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</row>
    <row r="365" spans="1:67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</row>
    <row r="366" spans="1:67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</row>
    <row r="367" spans="1:67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</row>
    <row r="368" spans="1:67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</row>
    <row r="369" spans="1:67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</row>
    <row r="370" spans="1:67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</row>
    <row r="371" spans="1:67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</row>
    <row r="372" spans="1:67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</row>
    <row r="373" spans="1:67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</row>
    <row r="374" spans="1:67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</row>
    <row r="375" spans="1:67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</row>
    <row r="376" spans="1:67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</row>
    <row r="377" spans="1:67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</row>
    <row r="378" spans="1:67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</row>
    <row r="379" spans="1:67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</row>
    <row r="380" spans="1:67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</row>
    <row r="381" spans="1:67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</row>
    <row r="382" spans="1:67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</row>
    <row r="383" spans="1:67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</row>
    <row r="384" spans="1:67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</row>
    <row r="385" spans="1:67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</row>
    <row r="386" spans="1:67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</row>
    <row r="387" spans="1:67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</row>
    <row r="388" spans="1:67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</row>
    <row r="389" spans="1:67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</row>
    <row r="390" spans="1:67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</row>
    <row r="391" spans="1:67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</row>
    <row r="392" spans="1:67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</row>
    <row r="393" spans="1:67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</row>
    <row r="394" spans="1:67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</row>
    <row r="395" spans="1:67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</row>
    <row r="396" spans="1:67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</row>
    <row r="397" spans="1:67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</row>
    <row r="398" spans="1:67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</row>
    <row r="399" spans="1:67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</row>
    <row r="400" spans="1:67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</row>
    <row r="401" spans="1:67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</row>
    <row r="402" spans="1:67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</row>
    <row r="403" spans="1:67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</row>
    <row r="404" spans="1:67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</row>
    <row r="405" spans="1:67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</row>
    <row r="406" spans="1:67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</row>
    <row r="407" spans="1:67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</row>
    <row r="408" spans="1:67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</row>
    <row r="409" spans="1:67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</row>
    <row r="410" spans="1:67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</row>
    <row r="411" spans="1:67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</row>
    <row r="412" spans="1:67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</row>
    <row r="413" spans="1:67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</row>
    <row r="414" spans="1:67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</row>
    <row r="415" spans="1:67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</row>
    <row r="416" spans="1:67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</row>
    <row r="417" spans="1:67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</row>
    <row r="418" spans="1:67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</row>
    <row r="419" spans="1:67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</row>
    <row r="420" spans="1:67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</row>
    <row r="421" spans="1:67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</row>
    <row r="422" spans="1:67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</row>
    <row r="423" spans="1:67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</row>
    <row r="424" spans="1:67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</row>
    <row r="425" spans="1:67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</row>
    <row r="426" spans="1:67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</row>
    <row r="427" spans="1:67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</row>
    <row r="428" spans="1:67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</row>
    <row r="429" spans="1:67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</row>
    <row r="430" spans="1:67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</row>
    <row r="431" spans="1:67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</row>
    <row r="432" spans="1:67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</row>
    <row r="433" spans="1:67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</row>
    <row r="434" spans="1:67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</row>
    <row r="435" spans="1:67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</row>
    <row r="436" spans="1:67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</row>
    <row r="437" spans="1:67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</row>
    <row r="438" spans="1:67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</row>
    <row r="439" spans="1:67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</row>
    <row r="440" spans="1:67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</row>
    <row r="441" spans="1:67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</row>
    <row r="442" spans="1:67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</row>
    <row r="443" spans="1:67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</row>
    <row r="444" spans="1:67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</row>
    <row r="445" spans="1:67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</row>
    <row r="446" spans="1:67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</row>
    <row r="447" spans="1:67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</row>
    <row r="448" spans="1:67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</row>
    <row r="449" spans="1:67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</row>
    <row r="450" spans="1:67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</row>
    <row r="451" spans="1:67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</row>
    <row r="452" spans="1:67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</row>
    <row r="453" spans="1:67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</row>
    <row r="454" spans="1:67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</row>
    <row r="455" spans="1:67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</row>
    <row r="456" spans="1:67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</row>
    <row r="457" spans="1:67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</row>
    <row r="458" spans="1:67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</row>
    <row r="459" spans="1:67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</row>
    <row r="460" spans="1:67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</row>
    <row r="461" spans="1:67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</row>
    <row r="462" spans="1:67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</row>
    <row r="463" spans="1:67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</row>
    <row r="464" spans="1:67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</row>
    <row r="465" spans="1:67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</row>
    <row r="466" spans="1:67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</row>
    <row r="467" spans="1:67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</row>
    <row r="468" spans="1:67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</row>
    <row r="469" spans="1:67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</row>
    <row r="470" spans="1:67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</row>
    <row r="471" spans="1:67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</row>
    <row r="472" spans="1:67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</row>
    <row r="473" spans="1:67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</row>
    <row r="474" spans="1:67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</row>
    <row r="475" spans="1:67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</row>
    <row r="476" spans="1:67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</row>
    <row r="477" spans="1:67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</row>
    <row r="478" spans="1:67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</row>
    <row r="479" spans="1:67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</row>
    <row r="480" spans="1:67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</row>
    <row r="481" spans="1:67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</row>
    <row r="482" spans="1:67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</row>
    <row r="483" spans="1:67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</row>
    <row r="484" spans="1:67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</row>
    <row r="485" spans="1:67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</row>
    <row r="486" spans="1:67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</row>
    <row r="487" spans="1:67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</row>
    <row r="488" spans="1:67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</row>
    <row r="489" spans="1:67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</row>
    <row r="490" spans="1:67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</row>
    <row r="491" spans="1:67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</row>
    <row r="492" spans="1:67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</row>
    <row r="493" spans="1:67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</row>
    <row r="494" spans="1:67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</row>
    <row r="495" spans="1:67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</row>
    <row r="496" spans="1:67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</row>
    <row r="497" spans="1:67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</row>
    <row r="498" spans="1:67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</row>
    <row r="499" spans="1:67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</row>
    <row r="500" spans="1:67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</row>
    <row r="501" spans="1:67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</row>
    <row r="502" spans="1:67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</row>
    <row r="503" spans="1:67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</row>
    <row r="504" spans="1:67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</row>
    <row r="505" spans="1:67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</row>
    <row r="506" spans="1:67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</row>
    <row r="507" spans="1:67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</row>
    <row r="508" spans="1:67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</row>
    <row r="509" spans="1:67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</row>
    <row r="510" spans="1:67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</row>
    <row r="511" spans="1:67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</row>
    <row r="512" spans="1:67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</row>
    <row r="513" spans="1:67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</row>
    <row r="514" spans="1:67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</row>
    <row r="515" spans="1:67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</row>
    <row r="516" spans="1:67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</row>
    <row r="517" spans="1:67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</row>
    <row r="518" spans="1:67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</row>
    <row r="519" spans="1:67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</row>
    <row r="520" spans="1:67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</row>
    <row r="521" spans="1:67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</row>
    <row r="522" spans="1:67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</row>
    <row r="523" spans="1:67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</row>
    <row r="524" spans="1:67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</row>
    <row r="525" spans="1:67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</row>
    <row r="526" spans="1:67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</row>
    <row r="527" spans="1:67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</row>
    <row r="528" spans="1:67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</row>
    <row r="529" spans="1:67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</row>
    <row r="530" spans="1:67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</row>
    <row r="531" spans="1:67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</row>
    <row r="532" spans="1:67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</row>
    <row r="533" spans="1:67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</row>
    <row r="534" spans="1:67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</row>
    <row r="535" spans="1:67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</row>
    <row r="536" spans="1:67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</row>
    <row r="537" spans="1:67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</row>
    <row r="538" spans="1:67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</row>
    <row r="539" spans="1:67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</row>
    <row r="540" spans="1:67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</row>
    <row r="541" spans="1:67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</row>
    <row r="542" spans="1:67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</row>
    <row r="543" spans="1:67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</row>
    <row r="544" spans="1:67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</row>
    <row r="545" spans="1:67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</row>
    <row r="546" spans="1:67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</row>
    <row r="547" spans="1:67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</row>
    <row r="548" spans="1:67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</row>
    <row r="549" spans="1:67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</row>
    <row r="550" spans="1:67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</row>
    <row r="551" spans="1:67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</row>
    <row r="552" spans="1:67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</row>
    <row r="553" spans="1:67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</row>
    <row r="554" spans="1:67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</row>
    <row r="555" spans="1:67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</row>
    <row r="556" spans="1:67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</row>
    <row r="557" spans="1:67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</row>
    <row r="558" spans="1:67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</row>
    <row r="559" spans="1:67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</row>
    <row r="560" spans="1:67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</row>
    <row r="561" spans="1:67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</row>
    <row r="562" spans="1:67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</row>
    <row r="563" spans="1:67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</row>
    <row r="564" spans="1:67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</row>
    <row r="565" spans="1:67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</row>
    <row r="566" spans="1:67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</row>
    <row r="567" spans="1:67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</row>
    <row r="568" spans="1:67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</row>
    <row r="569" spans="1:67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</row>
    <row r="570" spans="1:67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</row>
    <row r="571" spans="1:67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</row>
    <row r="572" spans="1:67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</row>
    <row r="573" spans="1:67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</row>
    <row r="574" spans="1:67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</row>
    <row r="575" spans="1:67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</row>
    <row r="576" spans="1:67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</row>
    <row r="577" spans="1:67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</row>
    <row r="578" spans="1:67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</row>
    <row r="579" spans="1:67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</row>
    <row r="580" spans="1:67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</row>
    <row r="581" spans="1:67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</row>
    <row r="582" spans="1:67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</row>
    <row r="583" spans="1:67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</row>
    <row r="584" spans="1:67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</row>
    <row r="585" spans="1:67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</row>
    <row r="586" spans="1:67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</row>
    <row r="587" spans="1:67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</row>
    <row r="588" spans="1:67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</row>
    <row r="589" spans="1:67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</row>
    <row r="590" spans="1:67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</row>
    <row r="591" spans="1:67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</row>
    <row r="592" spans="1:67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</row>
    <row r="593" spans="1:67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</row>
    <row r="594" spans="1:67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</row>
    <row r="595" spans="1:67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</row>
    <row r="596" spans="1:67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</row>
    <row r="597" spans="1:67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</row>
    <row r="598" spans="1:67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</row>
    <row r="599" spans="1:67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</row>
    <row r="600" spans="1:67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</row>
    <row r="601" spans="1:67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</row>
    <row r="602" spans="1:67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</row>
    <row r="603" spans="1:67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</row>
    <row r="604" spans="1:67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</row>
    <row r="605" spans="1:67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</row>
    <row r="606" spans="1:67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</row>
    <row r="607" spans="1:67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</row>
    <row r="608" spans="1:67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</row>
    <row r="609" spans="1:67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</row>
    <row r="610" spans="1:67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</row>
    <row r="611" spans="1:67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</row>
    <row r="612" spans="1:67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</row>
    <row r="613" spans="1:67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</row>
    <row r="614" spans="1:67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</row>
    <row r="615" spans="1:67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</row>
    <row r="616" spans="1:67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</row>
    <row r="617" spans="1:67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</row>
    <row r="618" spans="1:67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</row>
    <row r="619" spans="1:67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</row>
    <row r="620" spans="1:67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</row>
    <row r="621" spans="1:67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</row>
    <row r="622" spans="1:67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</row>
    <row r="623" spans="1:67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</row>
    <row r="624" spans="1:67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</row>
    <row r="625" spans="1:67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</row>
    <row r="626" spans="1:67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</row>
    <row r="627" spans="1:67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</row>
    <row r="628" spans="1:67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</row>
    <row r="629" spans="1:67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</row>
    <row r="630" spans="1:67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</row>
    <row r="631" spans="1:67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</row>
    <row r="632" spans="1:67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</row>
    <row r="633" spans="1:67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</row>
    <row r="634" spans="1:67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</row>
    <row r="635" spans="1:67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</row>
    <row r="636" spans="1:67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</row>
    <row r="637" spans="1:67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</row>
    <row r="638" spans="1:67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</row>
    <row r="639" spans="1:67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</row>
    <row r="640" spans="1:67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</row>
    <row r="641" spans="1:67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</row>
    <row r="642" spans="1:67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</row>
    <row r="643" spans="1:67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</row>
    <row r="644" spans="1:67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</row>
    <row r="645" spans="1:67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</row>
    <row r="646" spans="1:67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</row>
    <row r="647" spans="1:67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</row>
    <row r="648" spans="1:67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</row>
    <row r="649" spans="1:67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</row>
    <row r="650" spans="1:67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</row>
    <row r="651" spans="1:67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</row>
    <row r="652" spans="1:67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</row>
    <row r="653" spans="1:67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</row>
    <row r="654" spans="1:67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</row>
    <row r="655" spans="1:67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</row>
    <row r="656" spans="1:67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</row>
    <row r="657" spans="1:67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</row>
    <row r="658" spans="1:67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</row>
    <row r="659" spans="1:67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</row>
    <row r="660" spans="1:67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</row>
    <row r="661" spans="1:67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</row>
    <row r="662" spans="1:67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</row>
    <row r="663" spans="1:67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</row>
    <row r="664" spans="1:67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</row>
    <row r="665" spans="1:67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</row>
    <row r="666" spans="1:67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</row>
    <row r="667" spans="1:67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</row>
    <row r="668" spans="1:67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</row>
    <row r="669" spans="1:67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</row>
    <row r="670" spans="1:67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</row>
    <row r="671" spans="1:67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</row>
    <row r="672" spans="1:67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</row>
    <row r="673" spans="1:67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</row>
    <row r="674" spans="1:67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</row>
    <row r="675" spans="1:67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</row>
    <row r="676" spans="1:67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</row>
    <row r="677" spans="1:67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</row>
    <row r="678" spans="1:67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</row>
    <row r="679" spans="1:67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</row>
    <row r="680" spans="1:67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</row>
    <row r="681" spans="1:67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</row>
    <row r="682" spans="1:67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</row>
    <row r="683" spans="1:67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</row>
    <row r="684" spans="1:67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</row>
    <row r="685" spans="1:67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</row>
    <row r="686" spans="1:67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</row>
    <row r="687" spans="1:67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</row>
    <row r="688" spans="1:67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</row>
    <row r="689" spans="1:67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</row>
    <row r="690" spans="1:67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</row>
    <row r="691" spans="1:67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</row>
    <row r="692" spans="1:67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</row>
    <row r="693" spans="1:67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</row>
    <row r="694" spans="1:67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</row>
    <row r="695" spans="1:67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</row>
    <row r="696" spans="1:67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</row>
    <row r="697" spans="1:67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</row>
    <row r="698" spans="1:67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</row>
    <row r="699" spans="1:67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</row>
    <row r="700" spans="1:67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</row>
    <row r="701" spans="1:67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</row>
    <row r="702" spans="1:67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</row>
    <row r="703" spans="1:67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</row>
    <row r="704" spans="1:67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</row>
    <row r="705" spans="1:67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</row>
    <row r="706" spans="1:67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</row>
    <row r="707" spans="1:67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</row>
    <row r="708" spans="1:67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</row>
    <row r="709" spans="1:67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</row>
    <row r="710" spans="1:67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</row>
    <row r="711" spans="1:67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</row>
    <row r="712" spans="1:67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</row>
    <row r="713" spans="1:67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</row>
    <row r="714" spans="1:67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</row>
    <row r="715" spans="1:67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</row>
    <row r="716" spans="1:67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</row>
    <row r="717" spans="1:67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</row>
    <row r="718" spans="1:67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</row>
    <row r="719" spans="1:67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</row>
    <row r="720" spans="1:67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</row>
    <row r="721" spans="1:67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</row>
    <row r="722" spans="1:67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</row>
    <row r="723" spans="1:67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</row>
    <row r="724" spans="1:67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</row>
    <row r="725" spans="1:67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</row>
    <row r="726" spans="1:67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</row>
    <row r="727" spans="1:67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</row>
    <row r="728" spans="1:67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</row>
    <row r="729" spans="1:67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</row>
    <row r="730" spans="1:67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</row>
    <row r="731" spans="1:67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</row>
    <row r="732" spans="1:67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</row>
    <row r="733" spans="1:67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</row>
    <row r="734" spans="1:67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</row>
    <row r="735" spans="1:67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</row>
    <row r="736" spans="1:67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</row>
    <row r="737" spans="1:67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</row>
    <row r="738" spans="1:67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</row>
    <row r="739" spans="1:67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</row>
    <row r="740" spans="1:67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</row>
    <row r="741" spans="1:67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</row>
    <row r="742" spans="1:67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</row>
    <row r="743" spans="1:67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</row>
    <row r="744" spans="1:67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</row>
    <row r="745" spans="1:67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</row>
    <row r="746" spans="1:67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</row>
    <row r="747" spans="1:67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</row>
    <row r="748" spans="1:67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</row>
    <row r="749" spans="1:67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</row>
    <row r="750" spans="1:67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</row>
    <row r="751" spans="1:67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</row>
    <row r="752" spans="1:67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</row>
    <row r="753" spans="1:67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</row>
    <row r="754" spans="1:67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</row>
    <row r="755" spans="1:67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</row>
    <row r="756" spans="1:67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</row>
    <row r="757" spans="1:67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</row>
    <row r="758" spans="1:67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</row>
    <row r="759" spans="1:67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</row>
    <row r="760" spans="1:67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</row>
    <row r="761" spans="1:67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</row>
    <row r="762" spans="1:67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</row>
    <row r="763" spans="1:67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</row>
    <row r="764" spans="1:67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</row>
    <row r="765" spans="1:67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</row>
    <row r="766" spans="1:67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</row>
    <row r="767" spans="1:67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</row>
    <row r="768" spans="1:67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</row>
    <row r="769" spans="1:67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</row>
    <row r="770" spans="1:67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</row>
    <row r="771" spans="1:67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</row>
    <row r="772" spans="1:67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</row>
    <row r="773" spans="1:67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</row>
    <row r="774" spans="1:67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</row>
    <row r="775" spans="1:67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</row>
    <row r="776" spans="1:67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</row>
    <row r="777" spans="1:67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</row>
    <row r="778" spans="1:67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</row>
    <row r="779" spans="1:67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</row>
    <row r="780" spans="1:67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</row>
    <row r="781" spans="1:67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</row>
    <row r="782" spans="1:67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</row>
    <row r="783" spans="1:67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</row>
    <row r="784" spans="1:67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</row>
    <row r="785" spans="1:67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</row>
    <row r="786" spans="1:67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</row>
    <row r="787" spans="1:67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</row>
    <row r="788" spans="1:67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</row>
    <row r="789" spans="1:67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</row>
    <row r="790" spans="1:67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</row>
    <row r="791" spans="1:67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</row>
    <row r="792" spans="1:67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</row>
    <row r="793" spans="1:67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</row>
    <row r="794" spans="1:67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</row>
    <row r="795" spans="1:67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</row>
    <row r="796" spans="1:67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</row>
    <row r="797" spans="1:67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</row>
    <row r="798" spans="1:67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</row>
    <row r="799" spans="1:67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</row>
    <row r="800" spans="1:67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</row>
    <row r="801" spans="1:67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</row>
    <row r="802" spans="1:67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</row>
    <row r="803" spans="1:67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</row>
    <row r="804" spans="1:67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</row>
    <row r="805" spans="1:67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</row>
    <row r="806" spans="1:67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</row>
    <row r="807" spans="1:67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</row>
    <row r="808" spans="1:67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</row>
    <row r="809" spans="1:67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</row>
    <row r="810" spans="1:67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</row>
    <row r="811" spans="1:67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</row>
    <row r="812" spans="1:67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</row>
    <row r="813" spans="1:67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</row>
    <row r="814" spans="1:67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</row>
    <row r="815" spans="1:67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</row>
    <row r="816" spans="1:67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</row>
    <row r="817" spans="1:67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</row>
    <row r="818" spans="1:67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</row>
    <row r="819" spans="1:67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</row>
    <row r="820" spans="1:67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</row>
    <row r="821" spans="1:67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</row>
    <row r="822" spans="1:67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</row>
    <row r="823" spans="1:67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</row>
    <row r="824" spans="1:67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</row>
    <row r="825" spans="1:67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</row>
    <row r="826" spans="1:67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</row>
    <row r="827" spans="1:67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</row>
    <row r="828" spans="1:67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</row>
    <row r="829" spans="1:67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</row>
    <row r="830" spans="1:67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</row>
    <row r="831" spans="1:67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</row>
    <row r="832" spans="1:67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</row>
    <row r="833" spans="1:67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</row>
    <row r="834" spans="1:67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</row>
    <row r="835" spans="1:67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</row>
    <row r="836" spans="1:67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</row>
    <row r="837" spans="1:67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</row>
    <row r="838" spans="1:67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</row>
    <row r="839" spans="1:67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</row>
    <row r="840" spans="1:67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</row>
    <row r="841" spans="1:67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</row>
    <row r="842" spans="1:67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</row>
    <row r="843" spans="1:67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</row>
    <row r="844" spans="1:67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</row>
    <row r="845" spans="1:67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</row>
    <row r="846" spans="1:67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</row>
    <row r="847" spans="1:67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</row>
    <row r="848" spans="1:67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</row>
    <row r="849" spans="1:67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</row>
    <row r="850" spans="1:67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</row>
    <row r="851" spans="1:67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</row>
    <row r="852" spans="1:67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</row>
    <row r="853" spans="1:67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</row>
    <row r="854" spans="1:67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</row>
    <row r="855" spans="1:67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</row>
    <row r="856" spans="1:67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</row>
    <row r="857" spans="1:67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</row>
    <row r="858" spans="1:67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</row>
    <row r="859" spans="1:67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</row>
    <row r="860" spans="1:67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</row>
    <row r="861" spans="1:67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</row>
    <row r="862" spans="1:67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</row>
    <row r="863" spans="1:67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</row>
    <row r="864" spans="1:67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</row>
    <row r="865" spans="1:67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</row>
    <row r="866" spans="1:67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</row>
    <row r="867" spans="1:67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</row>
    <row r="868" spans="1:67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</row>
    <row r="869" spans="1:67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</row>
    <row r="870" spans="1:67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</row>
    <row r="871" spans="1:67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</row>
    <row r="872" spans="1:67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</row>
    <row r="873" spans="1:67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</row>
    <row r="874" spans="1:67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</row>
    <row r="875" spans="1:67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</row>
    <row r="876" spans="1:67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</row>
    <row r="877" spans="1:67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</row>
    <row r="878" spans="1:67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</row>
    <row r="879" spans="1:67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</row>
    <row r="880" spans="1:67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</row>
    <row r="881" spans="1:67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</row>
    <row r="882" spans="1:67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</row>
    <row r="883" spans="1:67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</row>
    <row r="884" spans="1:67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</row>
    <row r="885" spans="1:67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</row>
    <row r="886" spans="1:67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</row>
    <row r="887" spans="1:67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</row>
    <row r="888" spans="1:67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</row>
    <row r="889" spans="1:67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</row>
    <row r="890" spans="1:67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</row>
    <row r="891" spans="1:67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</row>
    <row r="892" spans="1:67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</row>
    <row r="893" spans="1:67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</row>
    <row r="894" spans="1:67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</row>
    <row r="895" spans="1:67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</row>
    <row r="896" spans="1:67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</row>
    <row r="897" spans="1:67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</row>
    <row r="898" spans="1:67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</row>
    <row r="899" spans="1:67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</row>
    <row r="900" spans="1:67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</row>
    <row r="901" spans="1:67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</row>
    <row r="902" spans="1:67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</row>
    <row r="903" spans="1:67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</row>
    <row r="904" spans="1:67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</row>
    <row r="905" spans="1:67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</row>
    <row r="906" spans="1:67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</row>
    <row r="907" spans="1:67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</row>
    <row r="908" spans="1:67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</row>
    <row r="909" spans="1:67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</row>
    <row r="910" spans="1:67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</row>
    <row r="911" spans="1:67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</row>
    <row r="912" spans="1:67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</row>
    <row r="913" spans="1:67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</row>
    <row r="914" spans="1:67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</row>
    <row r="915" spans="1:67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</row>
    <row r="916" spans="1:67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</row>
    <row r="917" spans="1:67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</row>
    <row r="918" spans="1:67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</row>
    <row r="919" spans="1:67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</row>
    <row r="920" spans="1:67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</row>
    <row r="921" spans="1:67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</row>
    <row r="922" spans="1:67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</row>
    <row r="923" spans="1:67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</row>
    <row r="924" spans="1:67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</row>
    <row r="925" spans="1:67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</row>
    <row r="926" spans="1:67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</row>
    <row r="927" spans="1:67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</row>
    <row r="928" spans="1:67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</row>
    <row r="929" spans="1:67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</row>
    <row r="930" spans="1:67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</row>
    <row r="931" spans="1:67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</row>
    <row r="932" spans="1:67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</row>
    <row r="933" spans="1:67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</row>
    <row r="934" spans="1:67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</row>
    <row r="935" spans="1:67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</row>
    <row r="936" spans="1:67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</row>
    <row r="937" spans="1:67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</row>
    <row r="938" spans="1:67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</row>
    <row r="939" spans="1:67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</row>
    <row r="940" spans="1:67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</row>
    <row r="941" spans="1:67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</row>
    <row r="942" spans="1:67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</row>
    <row r="943" spans="1:67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</row>
    <row r="944" spans="1:67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</row>
    <row r="945" spans="1:67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</row>
    <row r="946" spans="1:67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</row>
    <row r="947" spans="1:67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</row>
    <row r="948" spans="1:67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</row>
    <row r="949" spans="1:67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</row>
    <row r="950" spans="1:67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</row>
    <row r="951" spans="1:67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</row>
    <row r="952" spans="1:67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</row>
    <row r="953" spans="1:67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</row>
    <row r="954" spans="1:67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</row>
    <row r="955" spans="1:67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</row>
    <row r="956" spans="1:67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</row>
  </sheetData>
  <mergeCells count="19">
    <mergeCell ref="AH1:AI1"/>
    <mergeCell ref="AP1:AQ1"/>
    <mergeCell ref="AV1:AW1"/>
    <mergeCell ref="AY1:AZ1"/>
    <mergeCell ref="BE1:BF1"/>
    <mergeCell ref="BB1:BC1"/>
    <mergeCell ref="AS1:AT1"/>
    <mergeCell ref="AK1:AL1"/>
    <mergeCell ref="A1:B1"/>
    <mergeCell ref="AE1:AF1"/>
    <mergeCell ref="Y1:Z1"/>
    <mergeCell ref="S1:T1"/>
    <mergeCell ref="M1:N1"/>
    <mergeCell ref="G1:H1"/>
    <mergeCell ref="D1:E1"/>
    <mergeCell ref="J1:K1"/>
    <mergeCell ref="P1:Q1"/>
    <mergeCell ref="V1:W1"/>
    <mergeCell ref="AB1:AC1"/>
  </mergeCells>
  <phoneticPr fontId="6" type="noConversion"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S955"/>
  <sheetViews>
    <sheetView workbookViewId="0">
      <pane ySplit="1" topLeftCell="A2" activePane="bottomLeft" state="frozen"/>
      <selection pane="bottomLeft" sqref="A1:B1"/>
    </sheetView>
  </sheetViews>
  <sheetFormatPr defaultColWidth="14" defaultRowHeight="12.75" x14ac:dyDescent="0.2"/>
  <cols>
    <col min="1" max="49" width="24" customWidth="1"/>
    <col min="50" max="50" width="23" customWidth="1"/>
    <col min="51" max="59" width="25" customWidth="1"/>
  </cols>
  <sheetData>
    <row r="1" spans="1:71" x14ac:dyDescent="0.2">
      <c r="A1" s="192">
        <v>46098</v>
      </c>
      <c r="B1" s="192"/>
      <c r="C1" s="35" t="s">
        <v>0</v>
      </c>
      <c r="D1" s="192">
        <v>46063</v>
      </c>
      <c r="E1" s="192"/>
      <c r="F1" s="35" t="s">
        <v>0</v>
      </c>
      <c r="G1" s="192">
        <v>46037</v>
      </c>
      <c r="H1" s="192"/>
      <c r="I1" s="35" t="s">
        <v>0</v>
      </c>
      <c r="J1" s="192">
        <v>46000</v>
      </c>
      <c r="K1" s="192"/>
      <c r="L1" s="35" t="s">
        <v>0</v>
      </c>
      <c r="M1" s="192">
        <v>45960</v>
      </c>
      <c r="N1" s="192"/>
      <c r="O1" s="35" t="s">
        <v>0</v>
      </c>
      <c r="P1" s="192">
        <v>45930</v>
      </c>
      <c r="Q1" s="192"/>
      <c r="R1" s="35" t="s">
        <v>0</v>
      </c>
      <c r="S1" s="192">
        <v>45895</v>
      </c>
      <c r="T1" s="192"/>
      <c r="U1" s="35" t="s">
        <v>0</v>
      </c>
      <c r="V1" s="192">
        <v>45853</v>
      </c>
      <c r="W1" s="192"/>
      <c r="X1" s="35" t="s">
        <v>0</v>
      </c>
      <c r="Y1" s="192">
        <v>45818</v>
      </c>
      <c r="Z1" s="192"/>
      <c r="AA1" s="39" t="s">
        <v>811</v>
      </c>
      <c r="AB1" s="192">
        <v>45776</v>
      </c>
      <c r="AC1" s="192"/>
      <c r="AD1" s="39" t="s">
        <v>811</v>
      </c>
      <c r="AE1" s="192">
        <v>45741</v>
      </c>
      <c r="AF1" s="192"/>
      <c r="AG1" s="37" t="s">
        <v>811</v>
      </c>
      <c r="AH1" s="192">
        <v>45708</v>
      </c>
      <c r="AI1" s="192"/>
      <c r="AJ1" s="37" t="s">
        <v>811</v>
      </c>
      <c r="AK1" s="192">
        <v>45680</v>
      </c>
      <c r="AL1" s="200"/>
      <c r="AM1" s="99" t="s">
        <v>0</v>
      </c>
      <c r="AN1" s="100">
        <v>45650</v>
      </c>
      <c r="AO1" s="99" t="s">
        <v>0</v>
      </c>
      <c r="AP1" s="200">
        <v>45601</v>
      </c>
      <c r="AQ1" s="200"/>
      <c r="AR1" s="99" t="s">
        <v>0</v>
      </c>
      <c r="AS1" s="200">
        <v>45565</v>
      </c>
      <c r="AT1" s="200"/>
      <c r="AU1" s="99" t="s">
        <v>0</v>
      </c>
      <c r="AV1" s="201">
        <v>45531</v>
      </c>
      <c r="AW1" s="201"/>
      <c r="AX1" s="101" t="s">
        <v>0</v>
      </c>
      <c r="AY1" s="202">
        <v>45496</v>
      </c>
      <c r="AZ1" s="202"/>
      <c r="BA1" s="102" t="s">
        <v>0</v>
      </c>
      <c r="BB1" s="195">
        <v>45461</v>
      </c>
      <c r="BC1" s="195"/>
      <c r="BD1" s="42" t="s">
        <v>0</v>
      </c>
      <c r="BE1" s="197">
        <v>45419</v>
      </c>
      <c r="BF1" s="197"/>
      <c r="BG1" s="40" t="s">
        <v>0</v>
      </c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</row>
    <row r="2" spans="1:71" x14ac:dyDescent="0.2">
      <c r="A2" s="9" t="s">
        <v>812</v>
      </c>
      <c r="B2" s="9" t="s">
        <v>813</v>
      </c>
      <c r="C2" s="14">
        <v>3.0000000000000001E-3</v>
      </c>
      <c r="D2" s="10" t="s">
        <v>814</v>
      </c>
      <c r="E2" s="9" t="s">
        <v>815</v>
      </c>
      <c r="F2" s="25">
        <v>1.5E-3</v>
      </c>
      <c r="G2" s="15" t="s">
        <v>816</v>
      </c>
      <c r="H2" s="9" t="s">
        <v>817</v>
      </c>
      <c r="I2" s="14">
        <v>1.5E-3</v>
      </c>
      <c r="J2" s="19" t="s">
        <v>818</v>
      </c>
      <c r="K2" s="18" t="s">
        <v>819</v>
      </c>
      <c r="L2" s="3">
        <v>2.5000000000000001E-3</v>
      </c>
      <c r="M2" s="10" t="s">
        <v>144</v>
      </c>
      <c r="N2" s="17" t="s">
        <v>145</v>
      </c>
      <c r="O2" s="3">
        <v>3.5000000000000001E-3</v>
      </c>
      <c r="P2" s="27" t="s">
        <v>146</v>
      </c>
      <c r="Q2" s="24" t="s">
        <v>147</v>
      </c>
      <c r="R2" s="76">
        <v>3.5999999999999999E-3</v>
      </c>
      <c r="S2" s="15" t="s">
        <v>163</v>
      </c>
      <c r="T2" s="9" t="s">
        <v>164</v>
      </c>
      <c r="U2" s="3">
        <v>3.2000000000000002E-3</v>
      </c>
      <c r="V2" s="83" t="s">
        <v>180</v>
      </c>
      <c r="W2" s="82" t="s">
        <v>181</v>
      </c>
      <c r="X2" s="14">
        <v>3.3E-3</v>
      </c>
      <c r="Y2" s="15" t="s">
        <v>213</v>
      </c>
      <c r="Z2" s="9" t="s">
        <v>214</v>
      </c>
      <c r="AA2" s="3">
        <v>2.5000000000000001E-3</v>
      </c>
      <c r="AB2" s="97" t="s">
        <v>253</v>
      </c>
      <c r="AC2" s="96" t="s">
        <v>254</v>
      </c>
      <c r="AD2" s="3">
        <v>2.5000000000000001E-3</v>
      </c>
      <c r="AE2" s="12" t="s">
        <v>197</v>
      </c>
      <c r="AF2" s="5" t="s">
        <v>198</v>
      </c>
      <c r="AG2" s="3">
        <v>5.5999999999999999E-3</v>
      </c>
      <c r="AH2" s="83" t="s">
        <v>197</v>
      </c>
      <c r="AI2" s="82" t="s">
        <v>198</v>
      </c>
      <c r="AJ2" s="3">
        <v>5.5999999999999999E-3</v>
      </c>
      <c r="AK2" s="83" t="s">
        <v>405</v>
      </c>
      <c r="AL2" s="82" t="s">
        <v>406</v>
      </c>
      <c r="AM2" s="14">
        <v>3.5000000000000001E-3</v>
      </c>
      <c r="AN2" s="83" t="s">
        <v>307</v>
      </c>
      <c r="AO2" s="77">
        <v>3.0999999999999999E-3</v>
      </c>
      <c r="AP2" s="83" t="s">
        <v>424</v>
      </c>
      <c r="AQ2" s="82" t="s">
        <v>425</v>
      </c>
      <c r="AR2" s="14">
        <v>3.3999999999999998E-3</v>
      </c>
      <c r="AS2" s="83" t="s">
        <v>409</v>
      </c>
      <c r="AT2" s="82" t="s">
        <v>410</v>
      </c>
      <c r="AU2" s="14">
        <v>3.2000000000000002E-3</v>
      </c>
      <c r="AV2" s="78" t="s">
        <v>153</v>
      </c>
      <c r="AW2" s="81" t="s">
        <v>154</v>
      </c>
      <c r="AX2" s="103">
        <v>3.3E-3</v>
      </c>
      <c r="AY2" s="82" t="s">
        <v>468</v>
      </c>
      <c r="AZ2" s="82" t="s">
        <v>388</v>
      </c>
      <c r="BA2" s="73">
        <v>3.3E-3</v>
      </c>
      <c r="BB2" s="83" t="s">
        <v>86</v>
      </c>
      <c r="BC2" s="83" t="s">
        <v>87</v>
      </c>
      <c r="BD2" s="21">
        <v>3.8999999999999998E-3</v>
      </c>
      <c r="BE2" s="82" t="s">
        <v>155</v>
      </c>
      <c r="BF2" s="82" t="s">
        <v>820</v>
      </c>
      <c r="BG2" s="16">
        <v>3.5999999999999999E-3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</row>
    <row r="3" spans="1:71" x14ac:dyDescent="0.2">
      <c r="A3" s="9" t="s">
        <v>821</v>
      </c>
      <c r="B3" s="9" t="s">
        <v>822</v>
      </c>
      <c r="C3" s="14">
        <v>3.0000000000000001E-3</v>
      </c>
      <c r="D3" s="10" t="s">
        <v>823</v>
      </c>
      <c r="E3" s="9" t="s">
        <v>824</v>
      </c>
      <c r="F3" s="25">
        <v>1.5E-3</v>
      </c>
      <c r="G3" s="15" t="s">
        <v>825</v>
      </c>
      <c r="H3" s="9" t="s">
        <v>826</v>
      </c>
      <c r="I3" s="14">
        <v>1.5E-3</v>
      </c>
      <c r="J3" s="19" t="s">
        <v>827</v>
      </c>
      <c r="K3" s="18" t="s">
        <v>828</v>
      </c>
      <c r="L3" s="3">
        <v>2.5000000000000001E-3</v>
      </c>
      <c r="M3" s="10" t="s">
        <v>159</v>
      </c>
      <c r="N3" s="17" t="s">
        <v>160</v>
      </c>
      <c r="O3" s="3">
        <v>3.5000000000000001E-3</v>
      </c>
      <c r="P3" s="27" t="s">
        <v>161</v>
      </c>
      <c r="Q3" s="24" t="s">
        <v>162</v>
      </c>
      <c r="R3" s="3">
        <v>3.5999999999999999E-3</v>
      </c>
      <c r="S3" s="15" t="s">
        <v>178</v>
      </c>
      <c r="T3" s="9" t="s">
        <v>179</v>
      </c>
      <c r="U3" s="3">
        <v>3.2000000000000002E-3</v>
      </c>
      <c r="V3" s="43" t="s">
        <v>176</v>
      </c>
      <c r="W3" s="44" t="s">
        <v>177</v>
      </c>
      <c r="X3" s="14">
        <v>3.3E-3</v>
      </c>
      <c r="Y3" s="15" t="s">
        <v>231</v>
      </c>
      <c r="Z3" s="9" t="s">
        <v>232</v>
      </c>
      <c r="AA3" s="3">
        <v>2.5000000000000001E-3</v>
      </c>
      <c r="AB3" s="15" t="s">
        <v>211</v>
      </c>
      <c r="AC3" s="9" t="s">
        <v>212</v>
      </c>
      <c r="AD3" s="3">
        <v>2.5000000000000001E-3</v>
      </c>
      <c r="AE3" s="83" t="s">
        <v>215</v>
      </c>
      <c r="AF3" s="82" t="s">
        <v>216</v>
      </c>
      <c r="AG3" s="3">
        <v>5.5999999999999999E-3</v>
      </c>
      <c r="AH3" s="12" t="s">
        <v>255</v>
      </c>
      <c r="AI3" s="5" t="s">
        <v>256</v>
      </c>
      <c r="AJ3" s="3">
        <v>5.5999999999999999E-3</v>
      </c>
      <c r="AK3" s="83" t="s">
        <v>394</v>
      </c>
      <c r="AL3" s="82" t="s">
        <v>395</v>
      </c>
      <c r="AM3" s="14">
        <v>4.0000000000000001E-3</v>
      </c>
      <c r="AN3" s="12" t="s">
        <v>425</v>
      </c>
      <c r="AO3" s="77">
        <v>3.7000000000000002E-3</v>
      </c>
      <c r="AP3" s="83" t="s">
        <v>441</v>
      </c>
      <c r="AQ3" s="82" t="s">
        <v>442</v>
      </c>
      <c r="AR3" s="14">
        <v>3.3999999999999998E-3</v>
      </c>
      <c r="AS3" s="12" t="s">
        <v>153</v>
      </c>
      <c r="AT3" s="5" t="s">
        <v>154</v>
      </c>
      <c r="AU3" s="14">
        <v>3.8999999999999998E-3</v>
      </c>
      <c r="AV3" s="78" t="s">
        <v>170</v>
      </c>
      <c r="AW3" s="81" t="s">
        <v>171</v>
      </c>
      <c r="AX3" s="22">
        <v>3.3E-3</v>
      </c>
      <c r="AY3" s="71" t="s">
        <v>86</v>
      </c>
      <c r="AZ3" s="71" t="s">
        <v>87</v>
      </c>
      <c r="BA3" s="73">
        <v>3.3E-3</v>
      </c>
      <c r="BB3" s="83" t="s">
        <v>113</v>
      </c>
      <c r="BC3" s="83" t="s">
        <v>114</v>
      </c>
      <c r="BD3" s="21">
        <v>3.8999999999999998E-3</v>
      </c>
      <c r="BE3" s="82" t="s">
        <v>172</v>
      </c>
      <c r="BF3" s="82" t="s">
        <v>829</v>
      </c>
      <c r="BG3" s="16">
        <v>3.5999999999999999E-3</v>
      </c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</row>
    <row r="4" spans="1:71" x14ac:dyDescent="0.2">
      <c r="A4" s="9" t="s">
        <v>830</v>
      </c>
      <c r="B4" s="9" t="s">
        <v>831</v>
      </c>
      <c r="C4" s="14">
        <v>3.0000000000000001E-3</v>
      </c>
      <c r="D4" s="10" t="s">
        <v>832</v>
      </c>
      <c r="E4" s="9" t="s">
        <v>833</v>
      </c>
      <c r="F4" s="25">
        <v>1.5E-3</v>
      </c>
      <c r="G4" s="15" t="s">
        <v>834</v>
      </c>
      <c r="H4" s="9" t="s">
        <v>835</v>
      </c>
      <c r="I4" s="14">
        <v>1.5E-3</v>
      </c>
      <c r="J4" s="12" t="s">
        <v>144</v>
      </c>
      <c r="K4" s="5" t="s">
        <v>145</v>
      </c>
      <c r="L4" s="3">
        <v>3.2000000000000002E-3</v>
      </c>
      <c r="M4" s="26" t="s">
        <v>163</v>
      </c>
      <c r="N4" s="4" t="s">
        <v>164</v>
      </c>
      <c r="O4" s="3">
        <v>4.4999999999999997E-3</v>
      </c>
      <c r="P4" s="26" t="s">
        <v>163</v>
      </c>
      <c r="Q4" s="4" t="s">
        <v>164</v>
      </c>
      <c r="R4" s="3">
        <v>4.4999999999999997E-3</v>
      </c>
      <c r="S4" s="15" t="s">
        <v>195</v>
      </c>
      <c r="T4" s="9" t="s">
        <v>196</v>
      </c>
      <c r="U4" s="3">
        <v>3.2000000000000002E-3</v>
      </c>
      <c r="V4" s="43" t="s">
        <v>193</v>
      </c>
      <c r="W4" s="44" t="s">
        <v>194</v>
      </c>
      <c r="X4" s="14">
        <v>3.3E-3</v>
      </c>
      <c r="Y4" s="13" t="s">
        <v>253</v>
      </c>
      <c r="Z4" s="98" t="s">
        <v>254</v>
      </c>
      <c r="AA4" s="3">
        <v>2.5000000000000001E-3</v>
      </c>
      <c r="AB4" s="12" t="s">
        <v>197</v>
      </c>
      <c r="AC4" s="5" t="s">
        <v>198</v>
      </c>
      <c r="AD4" s="3">
        <v>2.5000000000000001E-3</v>
      </c>
      <c r="AE4" s="83" t="s">
        <v>233</v>
      </c>
      <c r="AF4" s="82" t="s">
        <v>234</v>
      </c>
      <c r="AG4" s="3">
        <v>5.5999999999999999E-3</v>
      </c>
      <c r="AH4" s="83" t="s">
        <v>273</v>
      </c>
      <c r="AI4" s="82" t="s">
        <v>274</v>
      </c>
      <c r="AJ4" s="3">
        <v>5.5999999999999999E-3</v>
      </c>
      <c r="AK4" s="83" t="s">
        <v>407</v>
      </c>
      <c r="AL4" s="82" t="s">
        <v>408</v>
      </c>
      <c r="AM4" s="14">
        <v>4.0000000000000001E-3</v>
      </c>
      <c r="AN4" s="12" t="s">
        <v>442</v>
      </c>
      <c r="AO4" s="77">
        <v>3.7000000000000002E-3</v>
      </c>
      <c r="AP4" s="83" t="s">
        <v>456</v>
      </c>
      <c r="AQ4" s="82" t="s">
        <v>457</v>
      </c>
      <c r="AR4" s="14">
        <v>3.3999999999999998E-3</v>
      </c>
      <c r="AS4" s="12" t="s">
        <v>170</v>
      </c>
      <c r="AT4" s="5" t="s">
        <v>171</v>
      </c>
      <c r="AU4" s="14">
        <v>3.8999999999999998E-3</v>
      </c>
      <c r="AV4" s="78" t="s">
        <v>187</v>
      </c>
      <c r="AW4" s="81" t="s">
        <v>188</v>
      </c>
      <c r="AX4" s="22">
        <v>3.3E-3</v>
      </c>
      <c r="AY4" s="71" t="s">
        <v>113</v>
      </c>
      <c r="AZ4" s="71" t="s">
        <v>114</v>
      </c>
      <c r="BA4" s="73">
        <v>3.3E-3</v>
      </c>
      <c r="BB4" s="83" t="s">
        <v>136</v>
      </c>
      <c r="BC4" s="83" t="s">
        <v>137</v>
      </c>
      <c r="BD4" s="21">
        <v>3.8999999999999998E-3</v>
      </c>
      <c r="BE4" s="82" t="s">
        <v>189</v>
      </c>
      <c r="BF4" s="82" t="s">
        <v>836</v>
      </c>
      <c r="BG4" s="16">
        <v>3.5999999999999999E-3</v>
      </c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</row>
    <row r="5" spans="1:71" x14ac:dyDescent="0.2">
      <c r="A5" s="5" t="s">
        <v>814</v>
      </c>
      <c r="B5" s="5" t="s">
        <v>815</v>
      </c>
      <c r="C5" s="14">
        <v>3.3999999999999998E-3</v>
      </c>
      <c r="D5" s="26" t="s">
        <v>837</v>
      </c>
      <c r="E5" s="5" t="s">
        <v>817</v>
      </c>
      <c r="F5" s="3">
        <v>3.0000000000000001E-3</v>
      </c>
      <c r="G5" s="13" t="s">
        <v>818</v>
      </c>
      <c r="H5" s="11" t="s">
        <v>819</v>
      </c>
      <c r="I5" s="14">
        <v>3.0000000000000001E-3</v>
      </c>
      <c r="J5" s="12" t="s">
        <v>159</v>
      </c>
      <c r="K5" s="5" t="s">
        <v>160</v>
      </c>
      <c r="L5" s="3">
        <v>3.2000000000000002E-3</v>
      </c>
      <c r="M5" s="95" t="s">
        <v>178</v>
      </c>
      <c r="N5" s="75" t="s">
        <v>179</v>
      </c>
      <c r="O5" s="76">
        <v>4.4999999999999997E-3</v>
      </c>
      <c r="P5" s="95" t="s">
        <v>178</v>
      </c>
      <c r="Q5" s="75" t="s">
        <v>179</v>
      </c>
      <c r="R5" s="76">
        <v>4.4999999999999997E-3</v>
      </c>
      <c r="S5" s="94" t="s">
        <v>180</v>
      </c>
      <c r="T5" s="93" t="s">
        <v>181</v>
      </c>
      <c r="U5" s="3">
        <v>4.0000000000000001E-3</v>
      </c>
      <c r="V5" s="12" t="s">
        <v>213</v>
      </c>
      <c r="W5" s="5" t="s">
        <v>214</v>
      </c>
      <c r="X5" s="14">
        <v>3.8E-3</v>
      </c>
      <c r="Y5" s="12" t="s">
        <v>211</v>
      </c>
      <c r="Z5" s="5" t="s">
        <v>212</v>
      </c>
      <c r="AA5" s="3">
        <v>2.5000000000000001E-3</v>
      </c>
      <c r="AB5" s="12" t="s">
        <v>215</v>
      </c>
      <c r="AC5" s="5" t="s">
        <v>216</v>
      </c>
      <c r="AD5" s="3">
        <v>2.5000000000000001E-3</v>
      </c>
      <c r="AE5" s="12" t="s">
        <v>255</v>
      </c>
      <c r="AF5" s="5" t="s">
        <v>256</v>
      </c>
      <c r="AG5" s="3">
        <v>5.5999999999999999E-3</v>
      </c>
      <c r="AH5" s="83" t="s">
        <v>291</v>
      </c>
      <c r="AI5" s="82" t="s">
        <v>292</v>
      </c>
      <c r="AJ5" s="3">
        <v>5.5999999999999999E-3</v>
      </c>
      <c r="AK5" s="83" t="s">
        <v>255</v>
      </c>
      <c r="AL5" s="82" t="s">
        <v>256</v>
      </c>
      <c r="AM5" s="14">
        <v>4.0000000000000001E-3</v>
      </c>
      <c r="AN5" s="12" t="s">
        <v>457</v>
      </c>
      <c r="AO5" s="77">
        <v>3.7000000000000002E-3</v>
      </c>
      <c r="AP5" s="15" t="s">
        <v>426</v>
      </c>
      <c r="AQ5" s="9" t="s">
        <v>427</v>
      </c>
      <c r="AR5" s="14">
        <v>4.7999999999999996E-3</v>
      </c>
      <c r="AS5" s="12" t="s">
        <v>187</v>
      </c>
      <c r="AT5" s="5" t="s">
        <v>188</v>
      </c>
      <c r="AU5" s="14">
        <v>3.8999999999999998E-3</v>
      </c>
      <c r="AV5" s="26" t="s">
        <v>468</v>
      </c>
      <c r="AW5" s="4" t="s">
        <v>388</v>
      </c>
      <c r="AX5" s="22">
        <v>3.8E-3</v>
      </c>
      <c r="AY5" s="71" t="s">
        <v>136</v>
      </c>
      <c r="AZ5" s="71" t="s">
        <v>137</v>
      </c>
      <c r="BA5" s="73">
        <v>3.3E-3</v>
      </c>
      <c r="BB5" s="12" t="s">
        <v>155</v>
      </c>
      <c r="BC5" s="12" t="s">
        <v>156</v>
      </c>
      <c r="BD5" s="21">
        <v>5.3E-3</v>
      </c>
      <c r="BE5" s="5" t="s">
        <v>90</v>
      </c>
      <c r="BF5" s="5" t="s">
        <v>91</v>
      </c>
      <c r="BG5" s="16">
        <v>3.2000000000000002E-3</v>
      </c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</row>
    <row r="6" spans="1:71" x14ac:dyDescent="0.2">
      <c r="A6" s="5" t="s">
        <v>823</v>
      </c>
      <c r="B6" s="5" t="s">
        <v>824</v>
      </c>
      <c r="C6" s="14">
        <v>3.3999999999999998E-3</v>
      </c>
      <c r="D6" s="26" t="s">
        <v>825</v>
      </c>
      <c r="E6" s="5" t="s">
        <v>826</v>
      </c>
      <c r="F6" s="3">
        <v>3.0000000000000001E-3</v>
      </c>
      <c r="G6" s="13" t="s">
        <v>827</v>
      </c>
      <c r="H6" s="11" t="s">
        <v>828</v>
      </c>
      <c r="I6" s="14">
        <v>3.0000000000000001E-3</v>
      </c>
      <c r="J6" s="13" t="s">
        <v>146</v>
      </c>
      <c r="K6" s="11" t="s">
        <v>147</v>
      </c>
      <c r="L6" s="3">
        <v>5.0000000000000001E-3</v>
      </c>
      <c r="M6" s="26" t="s">
        <v>195</v>
      </c>
      <c r="N6" s="4" t="s">
        <v>196</v>
      </c>
      <c r="O6" s="3">
        <v>4.4999999999999997E-3</v>
      </c>
      <c r="P6" s="26" t="s">
        <v>195</v>
      </c>
      <c r="Q6" s="4" t="s">
        <v>196</v>
      </c>
      <c r="R6" s="3">
        <v>4.4999999999999997E-3</v>
      </c>
      <c r="S6" s="12" t="s">
        <v>176</v>
      </c>
      <c r="T6" s="5" t="s">
        <v>177</v>
      </c>
      <c r="U6" s="3">
        <v>4.0000000000000001E-3</v>
      </c>
      <c r="V6" s="12" t="s">
        <v>231</v>
      </c>
      <c r="W6" s="5" t="s">
        <v>232</v>
      </c>
      <c r="X6" s="14">
        <v>3.8E-3</v>
      </c>
      <c r="Y6" s="12" t="s">
        <v>197</v>
      </c>
      <c r="Z6" s="93" t="s">
        <v>198</v>
      </c>
      <c r="AA6" s="3">
        <v>2.5000000000000001E-3</v>
      </c>
      <c r="AB6" s="12" t="s">
        <v>233</v>
      </c>
      <c r="AC6" s="5" t="s">
        <v>234</v>
      </c>
      <c r="AD6" s="3">
        <v>2.5000000000000001E-3</v>
      </c>
      <c r="AE6" s="12" t="s">
        <v>273</v>
      </c>
      <c r="AF6" s="5" t="s">
        <v>274</v>
      </c>
      <c r="AG6" s="3">
        <v>5.5999999999999999E-3</v>
      </c>
      <c r="AH6" s="12" t="s">
        <v>405</v>
      </c>
      <c r="AI6" s="5" t="s">
        <v>406</v>
      </c>
      <c r="AJ6" s="3">
        <v>5.5999999999999999E-3</v>
      </c>
      <c r="AK6" s="12" t="s">
        <v>306</v>
      </c>
      <c r="AL6" s="5" t="s">
        <v>307</v>
      </c>
      <c r="AM6" s="14">
        <v>6.4999999999999997E-3</v>
      </c>
      <c r="AN6" s="12" t="s">
        <v>427</v>
      </c>
      <c r="AO6" s="77">
        <v>5.3E-3</v>
      </c>
      <c r="AP6" s="15" t="s">
        <v>443</v>
      </c>
      <c r="AQ6" s="9" t="s">
        <v>444</v>
      </c>
      <c r="AR6" s="14">
        <v>4.7999999999999996E-3</v>
      </c>
      <c r="AS6" s="12" t="s">
        <v>468</v>
      </c>
      <c r="AT6" s="5" t="s">
        <v>388</v>
      </c>
      <c r="AU6" s="14">
        <v>5.7000000000000002E-3</v>
      </c>
      <c r="AV6" s="26" t="s">
        <v>86</v>
      </c>
      <c r="AW6" s="4" t="s">
        <v>87</v>
      </c>
      <c r="AX6" s="22">
        <v>3.8E-3</v>
      </c>
      <c r="AY6" s="5" t="s">
        <v>155</v>
      </c>
      <c r="AZ6" s="5" t="s">
        <v>156</v>
      </c>
      <c r="BA6" s="73">
        <v>4.7999999999999996E-3</v>
      </c>
      <c r="BB6" s="12" t="s">
        <v>172</v>
      </c>
      <c r="BC6" s="12" t="s">
        <v>173</v>
      </c>
      <c r="BD6" s="21">
        <v>5.3E-3</v>
      </c>
      <c r="BE6" s="5" t="s">
        <v>117</v>
      </c>
      <c r="BF6" s="5" t="s">
        <v>118</v>
      </c>
      <c r="BG6" s="16">
        <v>2.8999999999999998E-3</v>
      </c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</row>
    <row r="7" spans="1:71" x14ac:dyDescent="0.2">
      <c r="A7" s="5" t="s">
        <v>832</v>
      </c>
      <c r="B7" s="5" t="s">
        <v>833</v>
      </c>
      <c r="C7" s="14">
        <v>3.3999999999999998E-3</v>
      </c>
      <c r="D7" s="26" t="s">
        <v>834</v>
      </c>
      <c r="E7" s="5" t="s">
        <v>835</v>
      </c>
      <c r="F7" s="3">
        <v>3.0000000000000001E-3</v>
      </c>
      <c r="G7" s="12" t="s">
        <v>144</v>
      </c>
      <c r="H7" s="5" t="s">
        <v>145</v>
      </c>
      <c r="I7" s="14">
        <v>6.0000000000000001E-3</v>
      </c>
      <c r="J7" s="13" t="s">
        <v>161</v>
      </c>
      <c r="K7" s="11" t="s">
        <v>162</v>
      </c>
      <c r="L7" s="3">
        <v>5.0000000000000001E-3</v>
      </c>
      <c r="M7" s="26" t="s">
        <v>180</v>
      </c>
      <c r="N7" s="4" t="s">
        <v>181</v>
      </c>
      <c r="O7" s="3">
        <v>4.4999999999999997E-3</v>
      </c>
      <c r="P7" s="26" t="s">
        <v>180</v>
      </c>
      <c r="Q7" s="4" t="s">
        <v>181</v>
      </c>
      <c r="R7" s="3">
        <v>4.4999999999999997E-3</v>
      </c>
      <c r="S7" s="12" t="s">
        <v>193</v>
      </c>
      <c r="T7" s="93" t="s">
        <v>194</v>
      </c>
      <c r="U7" s="3">
        <v>4.0000000000000001E-3</v>
      </c>
      <c r="V7" s="12" t="s">
        <v>253</v>
      </c>
      <c r="W7" s="5" t="s">
        <v>254</v>
      </c>
      <c r="X7" s="14">
        <v>3.8E-3</v>
      </c>
      <c r="Y7" s="12" t="s">
        <v>215</v>
      </c>
      <c r="Z7" s="5" t="s">
        <v>216</v>
      </c>
      <c r="AA7" s="3">
        <v>2.5000000000000001E-3</v>
      </c>
      <c r="AB7" s="12" t="s">
        <v>273</v>
      </c>
      <c r="AC7" s="5" t="s">
        <v>274</v>
      </c>
      <c r="AD7" s="3">
        <v>2.5000000000000001E-3</v>
      </c>
      <c r="AE7" s="12" t="s">
        <v>291</v>
      </c>
      <c r="AF7" s="5" t="s">
        <v>292</v>
      </c>
      <c r="AG7" s="3">
        <v>5.5999999999999999E-3</v>
      </c>
      <c r="AH7" s="12" t="s">
        <v>394</v>
      </c>
      <c r="AI7" s="5" t="s">
        <v>395</v>
      </c>
      <c r="AJ7" s="3">
        <v>5.5999999999999999E-3</v>
      </c>
      <c r="AK7" s="12" t="s">
        <v>424</v>
      </c>
      <c r="AL7" s="5" t="s">
        <v>425</v>
      </c>
      <c r="AM7" s="14">
        <v>6.4999999999999997E-3</v>
      </c>
      <c r="AN7" s="12" t="s">
        <v>444</v>
      </c>
      <c r="AO7" s="77">
        <v>5.3E-3</v>
      </c>
      <c r="AP7" s="15" t="s">
        <v>458</v>
      </c>
      <c r="AQ7" s="9" t="s">
        <v>459</v>
      </c>
      <c r="AR7" s="14">
        <v>4.7999999999999996E-3</v>
      </c>
      <c r="AS7" s="12" t="s">
        <v>86</v>
      </c>
      <c r="AT7" s="5" t="s">
        <v>87</v>
      </c>
      <c r="AU7" s="14">
        <v>5.7000000000000002E-3</v>
      </c>
      <c r="AV7" s="26" t="s">
        <v>113</v>
      </c>
      <c r="AW7" s="4" t="s">
        <v>114</v>
      </c>
      <c r="AX7" s="22">
        <v>3.8E-3</v>
      </c>
      <c r="AY7" s="5" t="s">
        <v>172</v>
      </c>
      <c r="AZ7" s="5" t="s">
        <v>173</v>
      </c>
      <c r="BA7" s="73">
        <v>4.7999999999999996E-3</v>
      </c>
      <c r="BB7" s="12" t="s">
        <v>189</v>
      </c>
      <c r="BC7" s="12" t="s">
        <v>190</v>
      </c>
      <c r="BD7" s="21">
        <v>5.3E-3</v>
      </c>
      <c r="BE7" s="5" t="s">
        <v>140</v>
      </c>
      <c r="BF7" s="5" t="s">
        <v>141</v>
      </c>
      <c r="BG7" s="16">
        <v>2.8999999999999998E-3</v>
      </c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</row>
    <row r="8" spans="1:71" x14ac:dyDescent="0.2">
      <c r="A8" s="11" t="s">
        <v>818</v>
      </c>
      <c r="B8" s="11" t="s">
        <v>819</v>
      </c>
      <c r="C8" s="14">
        <v>3.3999999999999998E-3</v>
      </c>
      <c r="D8" s="20" t="s">
        <v>818</v>
      </c>
      <c r="E8" s="11" t="s">
        <v>819</v>
      </c>
      <c r="F8" s="46">
        <v>5.4999999999999997E-3</v>
      </c>
      <c r="G8" s="12" t="s">
        <v>159</v>
      </c>
      <c r="H8" s="5" t="s">
        <v>160</v>
      </c>
      <c r="I8" s="14">
        <v>6.0000000000000001E-3</v>
      </c>
      <c r="J8" s="12" t="s">
        <v>163</v>
      </c>
      <c r="K8" s="5" t="s">
        <v>164</v>
      </c>
      <c r="L8" s="3">
        <v>5.0000000000000001E-3</v>
      </c>
      <c r="M8" s="20" t="s">
        <v>146</v>
      </c>
      <c r="N8" s="23" t="s">
        <v>147</v>
      </c>
      <c r="O8" s="3">
        <v>5.5999999999999999E-3</v>
      </c>
      <c r="P8" s="26" t="s">
        <v>176</v>
      </c>
      <c r="Q8" s="4" t="s">
        <v>177</v>
      </c>
      <c r="R8" s="3">
        <v>5.0000000000000001E-3</v>
      </c>
      <c r="S8" s="12" t="s">
        <v>213</v>
      </c>
      <c r="T8" s="5" t="s">
        <v>214</v>
      </c>
      <c r="U8" s="3">
        <v>4.4999999999999997E-3</v>
      </c>
      <c r="V8" s="94" t="s">
        <v>211</v>
      </c>
      <c r="W8" s="93" t="s">
        <v>212</v>
      </c>
      <c r="X8" s="14">
        <v>3.8E-3</v>
      </c>
      <c r="Y8" s="12" t="s">
        <v>233</v>
      </c>
      <c r="Z8" s="93" t="s">
        <v>234</v>
      </c>
      <c r="AA8" s="3">
        <v>2.5000000000000001E-3</v>
      </c>
      <c r="AB8" s="12" t="s">
        <v>291</v>
      </c>
      <c r="AC8" s="5" t="s">
        <v>292</v>
      </c>
      <c r="AD8" s="3">
        <v>2.5000000000000001E-3</v>
      </c>
      <c r="AE8" s="12" t="s">
        <v>405</v>
      </c>
      <c r="AF8" s="5" t="s">
        <v>406</v>
      </c>
      <c r="AG8" s="3">
        <v>5.5999999999999999E-3</v>
      </c>
      <c r="AH8" s="12" t="s">
        <v>407</v>
      </c>
      <c r="AI8" s="5" t="s">
        <v>408</v>
      </c>
      <c r="AJ8" s="3">
        <v>5.5999999999999999E-3</v>
      </c>
      <c r="AK8" s="12" t="s">
        <v>441</v>
      </c>
      <c r="AL8" s="5" t="s">
        <v>442</v>
      </c>
      <c r="AM8" s="14">
        <v>6.4999999999999997E-3</v>
      </c>
      <c r="AN8" s="12" t="s">
        <v>459</v>
      </c>
      <c r="AO8" s="77">
        <v>5.3E-3</v>
      </c>
      <c r="AP8" s="12" t="s">
        <v>409</v>
      </c>
      <c r="AQ8" s="5" t="s">
        <v>410</v>
      </c>
      <c r="AR8" s="14">
        <v>5.3E-3</v>
      </c>
      <c r="AS8" s="12" t="s">
        <v>113</v>
      </c>
      <c r="AT8" s="5" t="s">
        <v>114</v>
      </c>
      <c r="AU8" s="14">
        <v>5.7000000000000002E-3</v>
      </c>
      <c r="AV8" s="26" t="s">
        <v>136</v>
      </c>
      <c r="AW8" s="4" t="s">
        <v>137</v>
      </c>
      <c r="AX8" s="22">
        <v>3.8E-3</v>
      </c>
      <c r="AY8" s="5" t="s">
        <v>189</v>
      </c>
      <c r="AZ8" s="5" t="s">
        <v>190</v>
      </c>
      <c r="BA8" s="73">
        <v>4.7999999999999996E-3</v>
      </c>
      <c r="BB8" s="12" t="s">
        <v>138</v>
      </c>
      <c r="BC8" s="12" t="s">
        <v>89</v>
      </c>
      <c r="BD8" s="21">
        <v>5.3E-3</v>
      </c>
      <c r="BE8" s="5" t="s">
        <v>138</v>
      </c>
      <c r="BF8" s="5" t="s">
        <v>89</v>
      </c>
      <c r="BG8" s="16">
        <v>2.5000000000000001E-3</v>
      </c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</row>
    <row r="9" spans="1:71" x14ac:dyDescent="0.2">
      <c r="A9" s="11" t="s">
        <v>827</v>
      </c>
      <c r="B9" s="11" t="s">
        <v>828</v>
      </c>
      <c r="C9" s="14">
        <v>3.3999999999999998E-3</v>
      </c>
      <c r="D9" s="20" t="s">
        <v>827</v>
      </c>
      <c r="E9" s="11" t="s">
        <v>828</v>
      </c>
      <c r="F9" s="46">
        <v>5.4999999999999997E-3</v>
      </c>
      <c r="G9" s="12" t="s">
        <v>146</v>
      </c>
      <c r="H9" s="5" t="s">
        <v>147</v>
      </c>
      <c r="I9" s="14">
        <v>6.0000000000000001E-3</v>
      </c>
      <c r="J9" s="12" t="s">
        <v>178</v>
      </c>
      <c r="K9" s="5" t="s">
        <v>179</v>
      </c>
      <c r="L9" s="3">
        <v>5.0000000000000001E-3</v>
      </c>
      <c r="M9" s="20" t="s">
        <v>161</v>
      </c>
      <c r="N9" s="23" t="s">
        <v>162</v>
      </c>
      <c r="O9" s="3">
        <v>5.5999999999999999E-3</v>
      </c>
      <c r="P9" s="95" t="s">
        <v>193</v>
      </c>
      <c r="Q9" s="4" t="s">
        <v>194</v>
      </c>
      <c r="R9" s="76">
        <v>5.0000000000000001E-3</v>
      </c>
      <c r="S9" s="94" t="s">
        <v>231</v>
      </c>
      <c r="T9" s="93" t="s">
        <v>232</v>
      </c>
      <c r="U9" s="3">
        <v>4.4999999999999997E-3</v>
      </c>
      <c r="V9" s="12" t="s">
        <v>197</v>
      </c>
      <c r="W9" s="5" t="s">
        <v>198</v>
      </c>
      <c r="X9" s="14">
        <v>4.8999999999999998E-3</v>
      </c>
      <c r="Y9" s="15" t="s">
        <v>484</v>
      </c>
      <c r="Z9" s="9" t="s">
        <v>485</v>
      </c>
      <c r="AA9" s="3">
        <v>0.01</v>
      </c>
      <c r="AB9" s="12" t="s">
        <v>405</v>
      </c>
      <c r="AC9" s="5" t="s">
        <v>406</v>
      </c>
      <c r="AD9" s="3">
        <v>2.5000000000000001E-3</v>
      </c>
      <c r="AE9" s="12" t="s">
        <v>486</v>
      </c>
      <c r="AF9" s="5" t="s">
        <v>487</v>
      </c>
      <c r="AG9" s="3">
        <v>0.01</v>
      </c>
      <c r="AH9" s="83" t="s">
        <v>486</v>
      </c>
      <c r="AI9" s="82" t="s">
        <v>487</v>
      </c>
      <c r="AJ9" s="3">
        <v>0.01</v>
      </c>
      <c r="AK9" s="12" t="s">
        <v>456</v>
      </c>
      <c r="AL9" s="5" t="s">
        <v>457</v>
      </c>
      <c r="AM9" s="14">
        <v>6.4999999999999997E-3</v>
      </c>
      <c r="AN9" s="12" t="s">
        <v>410</v>
      </c>
      <c r="AO9" s="77">
        <v>5.3E-3</v>
      </c>
      <c r="AP9" s="12" t="s">
        <v>468</v>
      </c>
      <c r="AQ9" s="5" t="s">
        <v>388</v>
      </c>
      <c r="AR9" s="14">
        <v>5.3E-3</v>
      </c>
      <c r="AS9" s="12" t="s">
        <v>136</v>
      </c>
      <c r="AT9" s="5" t="s">
        <v>137</v>
      </c>
      <c r="AU9" s="14">
        <v>5.7000000000000002E-3</v>
      </c>
      <c r="AV9" s="26" t="s">
        <v>138</v>
      </c>
      <c r="AW9" s="4" t="s">
        <v>89</v>
      </c>
      <c r="AX9" s="22">
        <v>4.8999999999999998E-3</v>
      </c>
      <c r="AY9" s="5" t="s">
        <v>138</v>
      </c>
      <c r="AZ9" s="5" t="s">
        <v>89</v>
      </c>
      <c r="BA9" s="73">
        <v>4.7999999999999996E-3</v>
      </c>
      <c r="BB9" s="12" t="s">
        <v>115</v>
      </c>
      <c r="BC9" s="12" t="s">
        <v>116</v>
      </c>
      <c r="BD9" s="21">
        <v>5.3E-3</v>
      </c>
      <c r="BE9" s="5" t="s">
        <v>115</v>
      </c>
      <c r="BF9" s="5" t="s">
        <v>116</v>
      </c>
      <c r="BG9" s="16">
        <v>2.5000000000000001E-3</v>
      </c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</row>
    <row r="10" spans="1:71" x14ac:dyDescent="0.2">
      <c r="A10" s="5" t="s">
        <v>837</v>
      </c>
      <c r="B10" s="5" t="s">
        <v>817</v>
      </c>
      <c r="C10" s="14">
        <v>4.4999999999999997E-3</v>
      </c>
      <c r="D10" s="26" t="s">
        <v>144</v>
      </c>
      <c r="E10" s="5" t="s">
        <v>145</v>
      </c>
      <c r="F10" s="3">
        <v>5.4999999999999997E-3</v>
      </c>
      <c r="G10" s="12" t="s">
        <v>161</v>
      </c>
      <c r="H10" s="5" t="s">
        <v>162</v>
      </c>
      <c r="I10" s="14">
        <v>6.0000000000000001E-3</v>
      </c>
      <c r="J10" s="12" t="s">
        <v>195</v>
      </c>
      <c r="K10" s="5" t="s">
        <v>196</v>
      </c>
      <c r="L10" s="3">
        <v>5.0000000000000001E-3</v>
      </c>
      <c r="M10" s="10" t="s">
        <v>420</v>
      </c>
      <c r="N10" s="17" t="s">
        <v>421</v>
      </c>
      <c r="O10" s="3">
        <v>2.8E-3</v>
      </c>
      <c r="P10" s="26" t="s">
        <v>211</v>
      </c>
      <c r="Q10" s="4" t="s">
        <v>212</v>
      </c>
      <c r="R10" s="3">
        <v>5.0000000000000001E-3</v>
      </c>
      <c r="S10" s="12" t="s">
        <v>253</v>
      </c>
      <c r="T10" s="5" t="s">
        <v>254</v>
      </c>
      <c r="U10" s="3">
        <v>4.4999999999999997E-3</v>
      </c>
      <c r="V10" s="94" t="s">
        <v>215</v>
      </c>
      <c r="W10" s="93" t="s">
        <v>216</v>
      </c>
      <c r="X10" s="14">
        <v>4.8999999999999998E-3</v>
      </c>
      <c r="Y10" s="15" t="s">
        <v>500</v>
      </c>
      <c r="Z10" s="9" t="s">
        <v>501</v>
      </c>
      <c r="AA10" s="3">
        <v>0.01</v>
      </c>
      <c r="AB10" s="97" t="s">
        <v>521</v>
      </c>
      <c r="AC10" s="96" t="s">
        <v>522</v>
      </c>
      <c r="AD10" s="3">
        <v>8.6999999999999994E-3</v>
      </c>
      <c r="AE10" s="83" t="s">
        <v>502</v>
      </c>
      <c r="AF10" s="82" t="s">
        <v>503</v>
      </c>
      <c r="AG10" s="3">
        <v>0.01</v>
      </c>
      <c r="AH10" s="12" t="s">
        <v>506</v>
      </c>
      <c r="AI10" s="5" t="s">
        <v>507</v>
      </c>
      <c r="AJ10" s="3">
        <v>0.01</v>
      </c>
      <c r="AK10" s="83" t="s">
        <v>525</v>
      </c>
      <c r="AL10" s="82" t="s">
        <v>526</v>
      </c>
      <c r="AM10" s="14">
        <v>6.4000000000000003E-3</v>
      </c>
      <c r="AN10" s="83" t="s">
        <v>562</v>
      </c>
      <c r="AO10" s="77">
        <v>3.0000000000000001E-3</v>
      </c>
      <c r="AP10" s="83" t="s">
        <v>577</v>
      </c>
      <c r="AQ10" s="82" t="s">
        <v>578</v>
      </c>
      <c r="AR10" s="14">
        <v>3.5000000000000001E-3</v>
      </c>
      <c r="AS10" s="83" t="s">
        <v>508</v>
      </c>
      <c r="AT10" s="82" t="s">
        <v>509</v>
      </c>
      <c r="AU10" s="14">
        <v>3.8E-3</v>
      </c>
      <c r="AV10" s="26" t="s">
        <v>115</v>
      </c>
      <c r="AW10" s="4" t="s">
        <v>116</v>
      </c>
      <c r="AX10" s="22">
        <v>4.8999999999999998E-3</v>
      </c>
      <c r="AY10" s="5" t="s">
        <v>115</v>
      </c>
      <c r="AZ10" s="5" t="s">
        <v>116</v>
      </c>
      <c r="BA10" s="73">
        <v>4.7999999999999996E-3</v>
      </c>
      <c r="BB10" s="12" t="s">
        <v>88</v>
      </c>
      <c r="BC10" s="12" t="s">
        <v>139</v>
      </c>
      <c r="BD10" s="21">
        <v>5.3E-3</v>
      </c>
      <c r="BE10" s="5" t="s">
        <v>88</v>
      </c>
      <c r="BF10" s="5" t="s">
        <v>139</v>
      </c>
      <c r="BG10" s="16">
        <v>2.5000000000000001E-3</v>
      </c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</row>
    <row r="11" spans="1:71" x14ac:dyDescent="0.2">
      <c r="A11" s="5" t="s">
        <v>825</v>
      </c>
      <c r="B11" s="5" t="s">
        <v>826</v>
      </c>
      <c r="C11" s="14">
        <v>4.4999999999999997E-3</v>
      </c>
      <c r="D11" s="26" t="s">
        <v>159</v>
      </c>
      <c r="E11" s="5" t="s">
        <v>160</v>
      </c>
      <c r="F11" s="3">
        <v>5.4999999999999997E-3</v>
      </c>
      <c r="G11" s="19" t="s">
        <v>838</v>
      </c>
      <c r="H11" s="18" t="s">
        <v>839</v>
      </c>
      <c r="I11" s="14">
        <v>2.2000000000000001E-3</v>
      </c>
      <c r="J11" s="19" t="s">
        <v>840</v>
      </c>
      <c r="K11" s="18" t="s">
        <v>841</v>
      </c>
      <c r="L11" s="3">
        <v>2.2000000000000001E-3</v>
      </c>
      <c r="M11" s="10" t="s">
        <v>435</v>
      </c>
      <c r="N11" s="17" t="s">
        <v>436</v>
      </c>
      <c r="O11" s="76">
        <v>2.8E-3</v>
      </c>
      <c r="P11" s="27" t="s">
        <v>403</v>
      </c>
      <c r="Q11" s="24" t="s">
        <v>404</v>
      </c>
      <c r="R11" s="76">
        <v>4.5999999999999999E-3</v>
      </c>
      <c r="S11" s="94" t="s">
        <v>211</v>
      </c>
      <c r="T11" s="93" t="s">
        <v>212</v>
      </c>
      <c r="U11" s="3">
        <v>4.4999999999999997E-3</v>
      </c>
      <c r="V11" s="12" t="s">
        <v>233</v>
      </c>
      <c r="W11" s="5" t="s">
        <v>234</v>
      </c>
      <c r="X11" s="14">
        <v>4.8999999999999998E-3</v>
      </c>
      <c r="Y11" s="13" t="s">
        <v>521</v>
      </c>
      <c r="Z11" s="11" t="s">
        <v>522</v>
      </c>
      <c r="AA11" s="3">
        <v>0.01</v>
      </c>
      <c r="AB11" s="15" t="s">
        <v>482</v>
      </c>
      <c r="AC11" s="9" t="s">
        <v>483</v>
      </c>
      <c r="AD11" s="3">
        <v>8.6999999999999994E-3</v>
      </c>
      <c r="AE11" s="83" t="s">
        <v>523</v>
      </c>
      <c r="AF11" s="82" t="s">
        <v>524</v>
      </c>
      <c r="AG11" s="3">
        <v>0.01</v>
      </c>
      <c r="AH11" s="83" t="s">
        <v>488</v>
      </c>
      <c r="AI11" s="82" t="s">
        <v>489</v>
      </c>
      <c r="AJ11" s="3">
        <v>0.01</v>
      </c>
      <c r="AK11" s="83" t="s">
        <v>527</v>
      </c>
      <c r="AL11" s="82" t="s">
        <v>528</v>
      </c>
      <c r="AM11" s="14">
        <v>6.4000000000000003E-3</v>
      </c>
      <c r="AN11" s="12" t="s">
        <v>578</v>
      </c>
      <c r="AO11" s="77">
        <v>3.3E-3</v>
      </c>
      <c r="AP11" s="83" t="s">
        <v>594</v>
      </c>
      <c r="AQ11" s="82" t="s">
        <v>595</v>
      </c>
      <c r="AR11" s="14">
        <v>3.5000000000000001E-3</v>
      </c>
      <c r="AS11" s="12" t="s">
        <v>531</v>
      </c>
      <c r="AT11" s="5" t="s">
        <v>532</v>
      </c>
      <c r="AU11" s="14">
        <v>6.4999999999999997E-3</v>
      </c>
      <c r="AV11" s="26" t="s">
        <v>88</v>
      </c>
      <c r="AW11" s="4" t="s">
        <v>139</v>
      </c>
      <c r="AX11" s="22">
        <v>4.8999999999999998E-3</v>
      </c>
      <c r="AY11" s="5" t="s">
        <v>88</v>
      </c>
      <c r="AZ11" s="5" t="s">
        <v>139</v>
      </c>
      <c r="BA11" s="73">
        <v>4.7999999999999996E-3</v>
      </c>
      <c r="BB11" s="83" t="s">
        <v>470</v>
      </c>
      <c r="BC11" s="83" t="s">
        <v>471</v>
      </c>
      <c r="BD11" s="21">
        <v>7.7999999999999996E-3</v>
      </c>
      <c r="BE11" s="82" t="s">
        <v>567</v>
      </c>
      <c r="BF11" s="82" t="s">
        <v>842</v>
      </c>
      <c r="BG11" s="16">
        <v>1.6899999999999998E-2</v>
      </c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</row>
    <row r="12" spans="1:71" x14ac:dyDescent="0.2">
      <c r="A12" s="5" t="s">
        <v>834</v>
      </c>
      <c r="B12" s="5" t="s">
        <v>835</v>
      </c>
      <c r="C12" s="14">
        <v>4.4999999999999997E-3</v>
      </c>
      <c r="D12" s="10" t="s">
        <v>843</v>
      </c>
      <c r="E12" s="9" t="s">
        <v>844</v>
      </c>
      <c r="F12" s="25">
        <v>2E-3</v>
      </c>
      <c r="G12" s="19" t="s">
        <v>845</v>
      </c>
      <c r="H12" s="18" t="s">
        <v>846</v>
      </c>
      <c r="I12" s="14">
        <v>2.2000000000000001E-3</v>
      </c>
      <c r="J12" s="19" t="s">
        <v>847</v>
      </c>
      <c r="K12" s="18" t="s">
        <v>848</v>
      </c>
      <c r="L12" s="3">
        <v>2.2000000000000001E-3</v>
      </c>
      <c r="M12" s="26" t="s">
        <v>439</v>
      </c>
      <c r="N12" s="4" t="s">
        <v>440</v>
      </c>
      <c r="O12" s="3">
        <v>6.7999999999999996E-3</v>
      </c>
      <c r="P12" s="27" t="s">
        <v>422</v>
      </c>
      <c r="Q12" s="24" t="s">
        <v>423</v>
      </c>
      <c r="R12" s="3">
        <v>4.5999999999999999E-3</v>
      </c>
      <c r="S12" s="15" t="s">
        <v>439</v>
      </c>
      <c r="T12" s="9" t="s">
        <v>440</v>
      </c>
      <c r="U12" s="3">
        <v>4.0000000000000001E-3</v>
      </c>
      <c r="V12" s="83" t="s">
        <v>454</v>
      </c>
      <c r="W12" s="82" t="s">
        <v>455</v>
      </c>
      <c r="X12" s="14">
        <v>4.0000000000000001E-3</v>
      </c>
      <c r="Y12" s="12" t="s">
        <v>482</v>
      </c>
      <c r="Z12" s="5" t="s">
        <v>483</v>
      </c>
      <c r="AA12" s="3">
        <v>0.01</v>
      </c>
      <c r="AB12" s="12" t="s">
        <v>486</v>
      </c>
      <c r="AC12" s="5" t="s">
        <v>487</v>
      </c>
      <c r="AD12" s="3">
        <v>8.6999999999999994E-3</v>
      </c>
      <c r="AE12" s="12" t="s">
        <v>506</v>
      </c>
      <c r="AF12" s="5" t="s">
        <v>507</v>
      </c>
      <c r="AG12" s="3">
        <v>0.01</v>
      </c>
      <c r="AH12" s="83" t="s">
        <v>504</v>
      </c>
      <c r="AI12" s="82" t="s">
        <v>505</v>
      </c>
      <c r="AJ12" s="3">
        <v>0.01</v>
      </c>
      <c r="AK12" s="83" t="s">
        <v>544</v>
      </c>
      <c r="AL12" s="82" t="s">
        <v>545</v>
      </c>
      <c r="AM12" s="14">
        <v>6.4000000000000003E-3</v>
      </c>
      <c r="AN12" s="12" t="s">
        <v>595</v>
      </c>
      <c r="AO12" s="77">
        <v>3.3E-3</v>
      </c>
      <c r="AP12" s="83" t="s">
        <v>611</v>
      </c>
      <c r="AQ12" s="82" t="s">
        <v>612</v>
      </c>
      <c r="AR12" s="14">
        <v>3.5000000000000001E-3</v>
      </c>
      <c r="AS12" s="12" t="s">
        <v>549</v>
      </c>
      <c r="AT12" s="5" t="s">
        <v>550</v>
      </c>
      <c r="AU12" s="14">
        <v>6.4999999999999997E-3</v>
      </c>
      <c r="AV12" s="78" t="s">
        <v>531</v>
      </c>
      <c r="AW12" s="81" t="s">
        <v>532</v>
      </c>
      <c r="AX12" s="22">
        <v>4.0000000000000001E-3</v>
      </c>
      <c r="AY12" s="82" t="s">
        <v>579</v>
      </c>
      <c r="AZ12" s="82" t="s">
        <v>460</v>
      </c>
      <c r="BA12" s="73">
        <v>9.1999999999999998E-3</v>
      </c>
      <c r="BB12" s="83" t="s">
        <v>490</v>
      </c>
      <c r="BC12" s="83" t="s">
        <v>491</v>
      </c>
      <c r="BD12" s="21">
        <v>7.7999999999999996E-3</v>
      </c>
      <c r="BE12" s="82" t="s">
        <v>582</v>
      </c>
      <c r="BF12" s="82" t="s">
        <v>849</v>
      </c>
      <c r="BG12" s="16">
        <v>1.6899999999999998E-2</v>
      </c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</row>
    <row r="13" spans="1:71" x14ac:dyDescent="0.2">
      <c r="A13" s="9" t="s">
        <v>850</v>
      </c>
      <c r="B13" s="9" t="s">
        <v>851</v>
      </c>
      <c r="C13" s="14">
        <v>7.4000000000000003E-3</v>
      </c>
      <c r="D13" s="10" t="s">
        <v>852</v>
      </c>
      <c r="E13" s="9" t="s">
        <v>853</v>
      </c>
      <c r="F13" s="25">
        <v>2E-3</v>
      </c>
      <c r="G13" s="15" t="s">
        <v>854</v>
      </c>
      <c r="H13" s="9" t="s">
        <v>855</v>
      </c>
      <c r="I13" s="14">
        <v>2.2000000000000001E-3</v>
      </c>
      <c r="J13" s="12" t="s">
        <v>420</v>
      </c>
      <c r="K13" s="5" t="s">
        <v>421</v>
      </c>
      <c r="L13" s="3">
        <v>5.4999999999999997E-3</v>
      </c>
      <c r="M13" s="95" t="s">
        <v>452</v>
      </c>
      <c r="N13" s="75" t="s">
        <v>453</v>
      </c>
      <c r="O13" s="76">
        <v>6.7999999999999996E-3</v>
      </c>
      <c r="P13" s="95" t="s">
        <v>439</v>
      </c>
      <c r="Q13" s="75" t="s">
        <v>440</v>
      </c>
      <c r="R13" s="76">
        <v>5.7999999999999996E-3</v>
      </c>
      <c r="S13" s="15" t="s">
        <v>452</v>
      </c>
      <c r="T13" s="9" t="s">
        <v>453</v>
      </c>
      <c r="U13" s="3">
        <v>4.0000000000000001E-3</v>
      </c>
      <c r="V13" s="43" t="s">
        <v>437</v>
      </c>
      <c r="W13" s="44" t="s">
        <v>438</v>
      </c>
      <c r="X13" s="14">
        <v>4.0000000000000001E-3</v>
      </c>
      <c r="Y13" s="12" t="s">
        <v>486</v>
      </c>
      <c r="Z13" s="5" t="s">
        <v>487</v>
      </c>
      <c r="AA13" s="3">
        <v>0.01</v>
      </c>
      <c r="AB13" s="12" t="s">
        <v>502</v>
      </c>
      <c r="AC13" s="5" t="s">
        <v>503</v>
      </c>
      <c r="AD13" s="3">
        <v>8.6999999999999994E-3</v>
      </c>
      <c r="AE13" s="12" t="s">
        <v>488</v>
      </c>
      <c r="AF13" s="5" t="s">
        <v>489</v>
      </c>
      <c r="AG13" s="3">
        <v>0.01</v>
      </c>
      <c r="AH13" s="12" t="s">
        <v>525</v>
      </c>
      <c r="AI13" s="5" t="s">
        <v>526</v>
      </c>
      <c r="AJ13" s="3">
        <v>0.01</v>
      </c>
      <c r="AK13" s="83" t="s">
        <v>506</v>
      </c>
      <c r="AL13" s="82" t="s">
        <v>507</v>
      </c>
      <c r="AM13" s="14">
        <v>6.4000000000000003E-3</v>
      </c>
      <c r="AN13" s="12" t="s">
        <v>612</v>
      </c>
      <c r="AO13" s="77">
        <v>3.3E-3</v>
      </c>
      <c r="AP13" s="15" t="s">
        <v>529</v>
      </c>
      <c r="AQ13" s="9" t="s">
        <v>530</v>
      </c>
      <c r="AR13" s="14">
        <v>6.6E-3</v>
      </c>
      <c r="AS13" s="12" t="s">
        <v>566</v>
      </c>
      <c r="AT13" s="5" t="s">
        <v>469</v>
      </c>
      <c r="AU13" s="14">
        <v>6.4999999999999997E-3</v>
      </c>
      <c r="AV13" s="78" t="s">
        <v>549</v>
      </c>
      <c r="AW13" s="81" t="s">
        <v>550</v>
      </c>
      <c r="AX13" s="22">
        <v>4.0000000000000001E-3</v>
      </c>
      <c r="AY13" s="71" t="s">
        <v>470</v>
      </c>
      <c r="AZ13" s="71" t="s">
        <v>471</v>
      </c>
      <c r="BA13" s="73">
        <v>9.1999999999999998E-3</v>
      </c>
      <c r="BB13" s="83" t="s">
        <v>510</v>
      </c>
      <c r="BC13" s="83" t="s">
        <v>511</v>
      </c>
      <c r="BD13" s="21">
        <v>7.7999999999999996E-3</v>
      </c>
      <c r="BE13" s="82" t="s">
        <v>598</v>
      </c>
      <c r="BF13" s="82" t="s">
        <v>856</v>
      </c>
      <c r="BG13" s="16">
        <v>1.6899999999999998E-2</v>
      </c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</row>
    <row r="14" spans="1:71" x14ac:dyDescent="0.2">
      <c r="A14" s="9" t="s">
        <v>857</v>
      </c>
      <c r="B14" s="9" t="s">
        <v>858</v>
      </c>
      <c r="C14" s="14">
        <v>7.4000000000000003E-3</v>
      </c>
      <c r="D14" s="10" t="s">
        <v>859</v>
      </c>
      <c r="E14" s="9" t="s">
        <v>860</v>
      </c>
      <c r="F14" s="25">
        <v>2E-3</v>
      </c>
      <c r="G14" s="12" t="s">
        <v>840</v>
      </c>
      <c r="H14" s="5" t="s">
        <v>841</v>
      </c>
      <c r="I14" s="14">
        <v>5.5999999999999999E-3</v>
      </c>
      <c r="J14" s="12" t="s">
        <v>435</v>
      </c>
      <c r="K14" s="5" t="s">
        <v>436</v>
      </c>
      <c r="L14" s="3">
        <v>5.4999999999999997E-3</v>
      </c>
      <c r="M14" s="26" t="s">
        <v>466</v>
      </c>
      <c r="N14" s="4" t="s">
        <v>467</v>
      </c>
      <c r="O14" s="3">
        <v>6.7999999999999996E-3</v>
      </c>
      <c r="P14" s="26" t="s">
        <v>452</v>
      </c>
      <c r="Q14" s="4" t="s">
        <v>453</v>
      </c>
      <c r="R14" s="3">
        <v>5.7999999999999996E-3</v>
      </c>
      <c r="S14" s="15" t="s">
        <v>466</v>
      </c>
      <c r="T14" s="9" t="s">
        <v>467</v>
      </c>
      <c r="U14" s="3">
        <v>4.0000000000000001E-3</v>
      </c>
      <c r="V14" s="43" t="s">
        <v>450</v>
      </c>
      <c r="W14" s="44" t="s">
        <v>451</v>
      </c>
      <c r="X14" s="14">
        <v>4.0000000000000001E-3</v>
      </c>
      <c r="Y14" s="12" t="s">
        <v>502</v>
      </c>
      <c r="Z14" s="5" t="s">
        <v>503</v>
      </c>
      <c r="AA14" s="3">
        <v>0.01</v>
      </c>
      <c r="AB14" s="12" t="s">
        <v>523</v>
      </c>
      <c r="AC14" s="5" t="s">
        <v>524</v>
      </c>
      <c r="AD14" s="3">
        <v>8.6999999999999994E-3</v>
      </c>
      <c r="AE14" s="12" t="s">
        <v>504</v>
      </c>
      <c r="AF14" s="5" t="s">
        <v>505</v>
      </c>
      <c r="AG14" s="3">
        <v>0.01</v>
      </c>
      <c r="AH14" s="12" t="s">
        <v>527</v>
      </c>
      <c r="AI14" s="5" t="s">
        <v>528</v>
      </c>
      <c r="AJ14" s="3">
        <v>0.01</v>
      </c>
      <c r="AK14" s="12" t="s">
        <v>561</v>
      </c>
      <c r="AL14" s="5" t="s">
        <v>562</v>
      </c>
      <c r="AM14" s="14">
        <v>0.01</v>
      </c>
      <c r="AN14" s="12" t="s">
        <v>530</v>
      </c>
      <c r="AO14" s="77">
        <v>8.3000000000000001E-3</v>
      </c>
      <c r="AP14" s="15" t="s">
        <v>546</v>
      </c>
      <c r="AQ14" s="9" t="s">
        <v>547</v>
      </c>
      <c r="AR14" s="14">
        <v>6.6E-3</v>
      </c>
      <c r="AS14" s="12" t="s">
        <v>579</v>
      </c>
      <c r="AT14" s="5" t="s">
        <v>460</v>
      </c>
      <c r="AU14" s="14">
        <v>7.6E-3</v>
      </c>
      <c r="AV14" s="78" t="s">
        <v>566</v>
      </c>
      <c r="AW14" s="81" t="s">
        <v>469</v>
      </c>
      <c r="AX14" s="22">
        <v>4.0000000000000001E-3</v>
      </c>
      <c r="AY14" s="71" t="s">
        <v>490</v>
      </c>
      <c r="AZ14" s="71" t="s">
        <v>491</v>
      </c>
      <c r="BA14" s="73">
        <v>9.1999999999999998E-3</v>
      </c>
      <c r="BB14" s="12" t="s">
        <v>567</v>
      </c>
      <c r="BC14" s="12" t="s">
        <v>568</v>
      </c>
      <c r="BD14" s="21">
        <v>1.38E-2</v>
      </c>
      <c r="BE14" s="5" t="s">
        <v>553</v>
      </c>
      <c r="BF14" s="5" t="s">
        <v>861</v>
      </c>
      <c r="BG14" s="16">
        <v>1.3899999999999999E-2</v>
      </c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</row>
    <row r="15" spans="1:71" x14ac:dyDescent="0.2">
      <c r="A15" s="9" t="s">
        <v>862</v>
      </c>
      <c r="B15" s="9" t="s">
        <v>863</v>
      </c>
      <c r="C15" s="14">
        <v>7.4000000000000003E-3</v>
      </c>
      <c r="D15" s="20" t="s">
        <v>864</v>
      </c>
      <c r="E15" s="11" t="s">
        <v>839</v>
      </c>
      <c r="F15" s="46">
        <v>5.0000000000000001E-3</v>
      </c>
      <c r="G15" s="12" t="s">
        <v>847</v>
      </c>
      <c r="H15" s="5" t="s">
        <v>848</v>
      </c>
      <c r="I15" s="14">
        <v>5.5999999999999999E-3</v>
      </c>
      <c r="J15" s="13" t="s">
        <v>403</v>
      </c>
      <c r="K15" s="11" t="s">
        <v>404</v>
      </c>
      <c r="L15" s="3">
        <v>6.6E-3</v>
      </c>
      <c r="M15" s="26" t="s">
        <v>454</v>
      </c>
      <c r="N15" s="4" t="s">
        <v>455</v>
      </c>
      <c r="O15" s="3">
        <v>6.7999999999999996E-3</v>
      </c>
      <c r="P15" s="95" t="s">
        <v>466</v>
      </c>
      <c r="Q15" s="4" t="s">
        <v>467</v>
      </c>
      <c r="R15" s="76">
        <v>5.7999999999999996E-3</v>
      </c>
      <c r="S15" s="94" t="s">
        <v>454</v>
      </c>
      <c r="T15" s="93" t="s">
        <v>455</v>
      </c>
      <c r="U15" s="3">
        <v>5.0000000000000001E-3</v>
      </c>
      <c r="V15" s="12" t="s">
        <v>484</v>
      </c>
      <c r="W15" s="5" t="s">
        <v>485</v>
      </c>
      <c r="X15" s="14">
        <v>5.0000000000000001E-3</v>
      </c>
      <c r="Y15" s="12" t="s">
        <v>523</v>
      </c>
      <c r="Z15" s="5" t="s">
        <v>524</v>
      </c>
      <c r="AA15" s="3">
        <v>0.01</v>
      </c>
      <c r="AB15" s="12" t="s">
        <v>488</v>
      </c>
      <c r="AC15" s="5" t="s">
        <v>489</v>
      </c>
      <c r="AD15" s="3">
        <v>8.6999999999999994E-3</v>
      </c>
      <c r="AE15" s="12" t="s">
        <v>525</v>
      </c>
      <c r="AF15" s="5" t="s">
        <v>526</v>
      </c>
      <c r="AG15" s="3">
        <v>0.01</v>
      </c>
      <c r="AH15" s="12" t="s">
        <v>544</v>
      </c>
      <c r="AI15" s="5" t="s">
        <v>545</v>
      </c>
      <c r="AJ15" s="3">
        <v>0.01</v>
      </c>
      <c r="AK15" s="12" t="s">
        <v>577</v>
      </c>
      <c r="AL15" s="5" t="s">
        <v>578</v>
      </c>
      <c r="AM15" s="14">
        <v>0.01</v>
      </c>
      <c r="AN15" s="12" t="s">
        <v>547</v>
      </c>
      <c r="AO15" s="77">
        <v>8.3000000000000001E-3</v>
      </c>
      <c r="AP15" s="15" t="s">
        <v>563</v>
      </c>
      <c r="AQ15" s="9" t="s">
        <v>564</v>
      </c>
      <c r="AR15" s="14">
        <v>6.6E-3</v>
      </c>
      <c r="AS15" s="12" t="s">
        <v>470</v>
      </c>
      <c r="AT15" s="5" t="s">
        <v>471</v>
      </c>
      <c r="AU15" s="14">
        <v>7.6E-3</v>
      </c>
      <c r="AV15" s="26" t="s">
        <v>579</v>
      </c>
      <c r="AW15" s="4" t="s">
        <v>460</v>
      </c>
      <c r="AX15" s="22">
        <v>5.0000000000000001E-3</v>
      </c>
      <c r="AY15" s="71" t="s">
        <v>510</v>
      </c>
      <c r="AZ15" s="71" t="s">
        <v>511</v>
      </c>
      <c r="BA15" s="73">
        <v>9.1999999999999998E-3</v>
      </c>
      <c r="BB15" s="12" t="s">
        <v>582</v>
      </c>
      <c r="BC15" s="12" t="s">
        <v>583</v>
      </c>
      <c r="BD15" s="21">
        <v>1.38E-2</v>
      </c>
      <c r="BE15" s="5" t="s">
        <v>569</v>
      </c>
      <c r="BF15" s="5" t="s">
        <v>865</v>
      </c>
      <c r="BG15" s="16">
        <v>1.3899999999999999E-2</v>
      </c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</row>
    <row r="16" spans="1:71" x14ac:dyDescent="0.2">
      <c r="A16" s="5" t="s">
        <v>843</v>
      </c>
      <c r="B16" s="5" t="s">
        <v>844</v>
      </c>
      <c r="C16" s="14">
        <v>1.2E-2</v>
      </c>
      <c r="D16" s="20" t="s">
        <v>845</v>
      </c>
      <c r="E16" s="11" t="s">
        <v>846</v>
      </c>
      <c r="F16" s="46">
        <v>5.0000000000000001E-3</v>
      </c>
      <c r="G16" s="12" t="s">
        <v>420</v>
      </c>
      <c r="H16" s="5" t="s">
        <v>421</v>
      </c>
      <c r="I16" s="14">
        <v>8.2000000000000007E-3</v>
      </c>
      <c r="J16" s="13" t="s">
        <v>422</v>
      </c>
      <c r="K16" s="11" t="s">
        <v>423</v>
      </c>
      <c r="L16" s="3">
        <v>6.6E-3</v>
      </c>
      <c r="M16" s="20" t="s">
        <v>403</v>
      </c>
      <c r="N16" s="23" t="s">
        <v>404</v>
      </c>
      <c r="O16" s="3">
        <v>8.5000000000000006E-3</v>
      </c>
      <c r="P16" s="95" t="s">
        <v>454</v>
      </c>
      <c r="Q16" s="4" t="s">
        <v>455</v>
      </c>
      <c r="R16" s="76">
        <v>5.7999999999999996E-3</v>
      </c>
      <c r="S16" s="94" t="s">
        <v>437</v>
      </c>
      <c r="T16" s="93" t="s">
        <v>438</v>
      </c>
      <c r="U16" s="3">
        <v>5.0000000000000001E-3</v>
      </c>
      <c r="V16" s="94" t="s">
        <v>500</v>
      </c>
      <c r="W16" s="5" t="s">
        <v>501</v>
      </c>
      <c r="X16" s="14">
        <v>5.0000000000000001E-3</v>
      </c>
      <c r="Y16" s="15" t="s">
        <v>592</v>
      </c>
      <c r="Z16" s="9" t="s">
        <v>593</v>
      </c>
      <c r="AA16" s="3">
        <v>3.3599999999999998E-2</v>
      </c>
      <c r="AB16" s="12" t="s">
        <v>504</v>
      </c>
      <c r="AC16" s="5" t="s">
        <v>505</v>
      </c>
      <c r="AD16" s="3">
        <v>8.6999999999999994E-3</v>
      </c>
      <c r="AE16" s="12" t="s">
        <v>607</v>
      </c>
      <c r="AF16" s="5" t="s">
        <v>608</v>
      </c>
      <c r="AG16" s="3">
        <v>2.7199999999999998E-2</v>
      </c>
      <c r="AH16" s="83" t="s">
        <v>607</v>
      </c>
      <c r="AI16" s="82" t="s">
        <v>608</v>
      </c>
      <c r="AJ16" s="3">
        <v>2.7199999999999998E-2</v>
      </c>
      <c r="AK16" s="12" t="s">
        <v>594</v>
      </c>
      <c r="AL16" s="5" t="s">
        <v>595</v>
      </c>
      <c r="AM16" s="14">
        <v>0.01</v>
      </c>
      <c r="AN16" s="12" t="s">
        <v>564</v>
      </c>
      <c r="AO16" s="77">
        <v>8.3000000000000001E-3</v>
      </c>
      <c r="AP16" s="12" t="s">
        <v>508</v>
      </c>
      <c r="AQ16" s="5" t="s">
        <v>509</v>
      </c>
      <c r="AR16" s="14">
        <v>7.9000000000000008E-3</v>
      </c>
      <c r="AS16" s="12" t="s">
        <v>490</v>
      </c>
      <c r="AT16" s="5" t="s">
        <v>491</v>
      </c>
      <c r="AU16" s="14">
        <v>7.6E-3</v>
      </c>
      <c r="AV16" s="26" t="s">
        <v>470</v>
      </c>
      <c r="AW16" s="4" t="s">
        <v>471</v>
      </c>
      <c r="AX16" s="22">
        <v>5.0000000000000001E-3</v>
      </c>
      <c r="AY16" s="5" t="s">
        <v>567</v>
      </c>
      <c r="AZ16" s="5" t="s">
        <v>568</v>
      </c>
      <c r="BA16" s="73">
        <v>1.5299999999999999E-2</v>
      </c>
      <c r="BB16" s="12" t="s">
        <v>598</v>
      </c>
      <c r="BC16" s="12" t="s">
        <v>599</v>
      </c>
      <c r="BD16" s="21">
        <v>1.38E-2</v>
      </c>
      <c r="BE16" s="5" t="s">
        <v>584</v>
      </c>
      <c r="BF16" s="5" t="s">
        <v>866</v>
      </c>
      <c r="BG16" s="16">
        <v>1.3899999999999999E-2</v>
      </c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</row>
    <row r="17" spans="1:71" x14ac:dyDescent="0.2">
      <c r="A17" s="5" t="s">
        <v>852</v>
      </c>
      <c r="B17" s="5" t="s">
        <v>853</v>
      </c>
      <c r="C17" s="14">
        <v>1.2E-2</v>
      </c>
      <c r="D17" s="26" t="s">
        <v>854</v>
      </c>
      <c r="E17" s="5" t="s">
        <v>855</v>
      </c>
      <c r="F17" s="3">
        <v>5.0000000000000001E-3</v>
      </c>
      <c r="G17" s="12" t="s">
        <v>435</v>
      </c>
      <c r="H17" s="5" t="s">
        <v>436</v>
      </c>
      <c r="I17" s="14">
        <v>8.2000000000000007E-3</v>
      </c>
      <c r="J17" s="12" t="s">
        <v>439</v>
      </c>
      <c r="K17" s="5" t="s">
        <v>440</v>
      </c>
      <c r="L17" s="3">
        <v>7.4000000000000003E-3</v>
      </c>
      <c r="M17" s="20" t="s">
        <v>422</v>
      </c>
      <c r="N17" s="23" t="s">
        <v>423</v>
      </c>
      <c r="O17" s="3">
        <v>8.5000000000000006E-3</v>
      </c>
      <c r="P17" s="26" t="s">
        <v>437</v>
      </c>
      <c r="Q17" s="4" t="s">
        <v>438</v>
      </c>
      <c r="R17" s="3">
        <v>6.4000000000000003E-3</v>
      </c>
      <c r="S17" s="12" t="s">
        <v>450</v>
      </c>
      <c r="T17" s="5" t="s">
        <v>451</v>
      </c>
      <c r="U17" s="3">
        <v>5.0000000000000001E-3</v>
      </c>
      <c r="V17" s="94" t="s">
        <v>521</v>
      </c>
      <c r="W17" s="93" t="s">
        <v>522</v>
      </c>
      <c r="X17" s="14">
        <v>5.0000000000000001E-3</v>
      </c>
      <c r="Y17" s="15" t="s">
        <v>605</v>
      </c>
      <c r="Z17" s="9" t="s">
        <v>606</v>
      </c>
      <c r="AA17" s="3">
        <v>3.3599999999999998E-2</v>
      </c>
      <c r="AB17" s="12" t="s">
        <v>525</v>
      </c>
      <c r="AC17" s="5" t="s">
        <v>526</v>
      </c>
      <c r="AD17" s="3">
        <v>8.6999999999999994E-3</v>
      </c>
      <c r="AE17" s="83" t="s">
        <v>628</v>
      </c>
      <c r="AF17" s="82" t="s">
        <v>629</v>
      </c>
      <c r="AG17" s="3">
        <v>2.7199999999999998E-2</v>
      </c>
      <c r="AH17" s="12" t="s">
        <v>652</v>
      </c>
      <c r="AI17" s="5" t="s">
        <v>653</v>
      </c>
      <c r="AJ17" s="3">
        <v>2.7199999999999998E-2</v>
      </c>
      <c r="AK17" s="12" t="s">
        <v>611</v>
      </c>
      <c r="AL17" s="5" t="s">
        <v>612</v>
      </c>
      <c r="AM17" s="14">
        <v>0.01</v>
      </c>
      <c r="AN17" s="12" t="s">
        <v>509</v>
      </c>
      <c r="AO17" s="77">
        <v>8.3000000000000001E-3</v>
      </c>
      <c r="AP17" s="12" t="s">
        <v>579</v>
      </c>
      <c r="AQ17" s="5" t="s">
        <v>460</v>
      </c>
      <c r="AR17" s="14">
        <v>7.9000000000000008E-3</v>
      </c>
      <c r="AS17" s="12" t="s">
        <v>510</v>
      </c>
      <c r="AT17" s="5" t="s">
        <v>511</v>
      </c>
      <c r="AU17" s="14">
        <v>7.6E-3</v>
      </c>
      <c r="AV17" s="26" t="s">
        <v>490</v>
      </c>
      <c r="AW17" s="4" t="s">
        <v>491</v>
      </c>
      <c r="AX17" s="22">
        <v>5.0000000000000001E-3</v>
      </c>
      <c r="AY17" s="5" t="s">
        <v>582</v>
      </c>
      <c r="AZ17" s="5" t="s">
        <v>583</v>
      </c>
      <c r="BA17" s="73">
        <v>1.5299999999999999E-2</v>
      </c>
      <c r="BB17" s="12" t="s">
        <v>551</v>
      </c>
      <c r="BC17" s="12" t="s">
        <v>552</v>
      </c>
      <c r="BD17" s="21">
        <v>1.21E-2</v>
      </c>
      <c r="BE17" s="5" t="s">
        <v>551</v>
      </c>
      <c r="BF17" s="5" t="s">
        <v>867</v>
      </c>
      <c r="BG17" s="16">
        <v>1.1299999999999999E-2</v>
      </c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</row>
    <row r="18" spans="1:71" x14ac:dyDescent="0.2">
      <c r="A18" s="5" t="s">
        <v>859</v>
      </c>
      <c r="B18" s="5" t="s">
        <v>860</v>
      </c>
      <c r="C18" s="14">
        <v>1.2E-2</v>
      </c>
      <c r="D18" s="26" t="s">
        <v>840</v>
      </c>
      <c r="E18" s="5" t="s">
        <v>841</v>
      </c>
      <c r="F18" s="3">
        <v>7.4999999999999997E-3</v>
      </c>
      <c r="G18" s="12" t="s">
        <v>403</v>
      </c>
      <c r="H18" s="5" t="s">
        <v>404</v>
      </c>
      <c r="I18" s="14">
        <v>8.2000000000000007E-3</v>
      </c>
      <c r="J18" s="12" t="s">
        <v>452</v>
      </c>
      <c r="K18" s="5" t="s">
        <v>453</v>
      </c>
      <c r="L18" s="3">
        <v>7.4000000000000003E-3</v>
      </c>
      <c r="M18" s="10" t="s">
        <v>517</v>
      </c>
      <c r="N18" s="17" t="s">
        <v>518</v>
      </c>
      <c r="O18" s="76">
        <v>1.8599999999999998E-2</v>
      </c>
      <c r="P18" s="95" t="s">
        <v>450</v>
      </c>
      <c r="Q18" s="75" t="s">
        <v>451</v>
      </c>
      <c r="R18" s="76">
        <v>6.4000000000000003E-3</v>
      </c>
      <c r="S18" s="12" t="s">
        <v>484</v>
      </c>
      <c r="T18" s="5" t="s">
        <v>485</v>
      </c>
      <c r="U18" s="3">
        <v>5.4999999999999997E-3</v>
      </c>
      <c r="V18" s="12" t="s">
        <v>482</v>
      </c>
      <c r="W18" s="5" t="s">
        <v>483</v>
      </c>
      <c r="X18" s="14">
        <v>5.0000000000000001E-3</v>
      </c>
      <c r="Y18" s="13" t="s">
        <v>626</v>
      </c>
      <c r="Z18" s="11" t="s">
        <v>627</v>
      </c>
      <c r="AA18" s="3">
        <v>3.3599999999999998E-2</v>
      </c>
      <c r="AB18" s="97" t="s">
        <v>626</v>
      </c>
      <c r="AC18" s="96" t="s">
        <v>627</v>
      </c>
      <c r="AD18" s="3">
        <v>2.5600000000000001E-2</v>
      </c>
      <c r="AE18" s="83" t="s">
        <v>648</v>
      </c>
      <c r="AF18" s="82" t="s">
        <v>649</v>
      </c>
      <c r="AG18" s="3">
        <v>2.7199999999999998E-2</v>
      </c>
      <c r="AH18" s="83" t="s">
        <v>609</v>
      </c>
      <c r="AI18" s="82" t="s">
        <v>610</v>
      </c>
      <c r="AJ18" s="3">
        <v>2.7199999999999998E-2</v>
      </c>
      <c r="AK18" s="83" t="s">
        <v>650</v>
      </c>
      <c r="AL18" s="82" t="s">
        <v>651</v>
      </c>
      <c r="AM18" s="14">
        <v>0.02</v>
      </c>
      <c r="AN18" s="83" t="s">
        <v>703</v>
      </c>
      <c r="AO18" s="77">
        <v>1.38E-2</v>
      </c>
      <c r="AP18" s="83" t="s">
        <v>715</v>
      </c>
      <c r="AQ18" s="82" t="s">
        <v>716</v>
      </c>
      <c r="AR18" s="14">
        <v>1.7500000000000002E-2</v>
      </c>
      <c r="AS18" s="83" t="s">
        <v>613</v>
      </c>
      <c r="AT18" s="82" t="s">
        <v>614</v>
      </c>
      <c r="AU18" s="14">
        <v>1.2999999999999999E-2</v>
      </c>
      <c r="AV18" s="26" t="s">
        <v>510</v>
      </c>
      <c r="AW18" s="4" t="s">
        <v>511</v>
      </c>
      <c r="AX18" s="22">
        <v>5.0000000000000001E-3</v>
      </c>
      <c r="AY18" s="5" t="s">
        <v>598</v>
      </c>
      <c r="AZ18" s="5" t="s">
        <v>599</v>
      </c>
      <c r="BA18" s="73">
        <v>1.5299999999999999E-2</v>
      </c>
      <c r="BB18" s="12" t="s">
        <v>533</v>
      </c>
      <c r="BC18" s="12" t="s">
        <v>534</v>
      </c>
      <c r="BD18" s="21">
        <v>1.21E-2</v>
      </c>
      <c r="BE18" s="5" t="s">
        <v>533</v>
      </c>
      <c r="BF18" s="5" t="s">
        <v>868</v>
      </c>
      <c r="BG18" s="16">
        <v>1.1299999999999999E-2</v>
      </c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</row>
    <row r="19" spans="1:71" x14ac:dyDescent="0.2">
      <c r="A19" s="5" t="s">
        <v>840</v>
      </c>
      <c r="B19" s="5" t="s">
        <v>841</v>
      </c>
      <c r="C19" s="14">
        <v>1.2E-2</v>
      </c>
      <c r="D19" s="26" t="s">
        <v>847</v>
      </c>
      <c r="E19" s="5" t="s">
        <v>848</v>
      </c>
      <c r="F19" s="3">
        <v>7.4999999999999997E-3</v>
      </c>
      <c r="G19" s="12" t="s">
        <v>422</v>
      </c>
      <c r="H19" s="5" t="s">
        <v>423</v>
      </c>
      <c r="I19" s="14">
        <v>8.2000000000000007E-3</v>
      </c>
      <c r="J19" s="12" t="s">
        <v>466</v>
      </c>
      <c r="K19" s="5" t="s">
        <v>467</v>
      </c>
      <c r="L19" s="3">
        <v>7.4000000000000003E-3</v>
      </c>
      <c r="M19" s="10" t="s">
        <v>538</v>
      </c>
      <c r="N19" s="17" t="s">
        <v>539</v>
      </c>
      <c r="O19" s="3">
        <v>1.8599999999999998E-2</v>
      </c>
      <c r="P19" s="26" t="s">
        <v>482</v>
      </c>
      <c r="Q19" s="4" t="s">
        <v>483</v>
      </c>
      <c r="R19" s="3">
        <v>6.4000000000000003E-3</v>
      </c>
      <c r="S19" s="94" t="s">
        <v>500</v>
      </c>
      <c r="T19" s="93" t="s">
        <v>501</v>
      </c>
      <c r="U19" s="3">
        <v>5.4999999999999997E-3</v>
      </c>
      <c r="V19" s="94" t="s">
        <v>486</v>
      </c>
      <c r="W19" s="93" t="s">
        <v>487</v>
      </c>
      <c r="X19" s="14">
        <v>6.0000000000000001E-3</v>
      </c>
      <c r="Y19" s="12" t="s">
        <v>590</v>
      </c>
      <c r="Z19" s="5" t="s">
        <v>591</v>
      </c>
      <c r="AA19" s="3">
        <v>3.3599999999999998E-2</v>
      </c>
      <c r="AB19" s="15" t="s">
        <v>590</v>
      </c>
      <c r="AC19" s="9" t="s">
        <v>591</v>
      </c>
      <c r="AD19" s="3">
        <v>2.5600000000000001E-2</v>
      </c>
      <c r="AE19" s="12" t="s">
        <v>652</v>
      </c>
      <c r="AF19" s="5" t="s">
        <v>653</v>
      </c>
      <c r="AG19" s="3">
        <v>2.7199999999999998E-2</v>
      </c>
      <c r="AH19" s="83" t="s">
        <v>630</v>
      </c>
      <c r="AI19" s="82" t="s">
        <v>631</v>
      </c>
      <c r="AJ19" s="3">
        <v>2.7199999999999998E-2</v>
      </c>
      <c r="AK19" s="83" t="s">
        <v>669</v>
      </c>
      <c r="AL19" s="82" t="s">
        <v>670</v>
      </c>
      <c r="AM19" s="14">
        <v>0.02</v>
      </c>
      <c r="AN19" s="12" t="s">
        <v>716</v>
      </c>
      <c r="AO19" s="77">
        <v>1.66E-2</v>
      </c>
      <c r="AP19" s="83" t="s">
        <v>733</v>
      </c>
      <c r="AQ19" s="82" t="s">
        <v>734</v>
      </c>
      <c r="AR19" s="14">
        <v>1.7500000000000002E-2</v>
      </c>
      <c r="AS19" s="12" t="s">
        <v>635</v>
      </c>
      <c r="AT19" s="5" t="s">
        <v>636</v>
      </c>
      <c r="AU19" s="14">
        <v>1.9599999999999999E-2</v>
      </c>
      <c r="AV19" s="26" t="s">
        <v>551</v>
      </c>
      <c r="AW19" s="4" t="s">
        <v>552</v>
      </c>
      <c r="AX19" s="22">
        <v>6.0000000000000001E-3</v>
      </c>
      <c r="AY19" s="5" t="s">
        <v>551</v>
      </c>
      <c r="AZ19" s="5" t="s">
        <v>552</v>
      </c>
      <c r="BA19" s="73">
        <v>1.5299999999999999E-2</v>
      </c>
      <c r="BB19" s="12" t="s">
        <v>512</v>
      </c>
      <c r="BC19" s="12" t="s">
        <v>513</v>
      </c>
      <c r="BD19" s="21">
        <v>1.21E-2</v>
      </c>
      <c r="BE19" s="5" t="s">
        <v>512</v>
      </c>
      <c r="BF19" s="5" t="s">
        <v>869</v>
      </c>
      <c r="BG19" s="16">
        <v>1.1299999999999999E-2</v>
      </c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</row>
    <row r="20" spans="1:71" x14ac:dyDescent="0.2">
      <c r="A20" s="5" t="s">
        <v>847</v>
      </c>
      <c r="B20" s="5" t="s">
        <v>848</v>
      </c>
      <c r="C20" s="14">
        <v>1.2E-2</v>
      </c>
      <c r="D20" s="26" t="s">
        <v>420</v>
      </c>
      <c r="E20" s="5" t="s">
        <v>421</v>
      </c>
      <c r="F20" s="3">
        <v>7.4999999999999997E-3</v>
      </c>
      <c r="G20" s="19" t="s">
        <v>870</v>
      </c>
      <c r="H20" s="18" t="s">
        <v>871</v>
      </c>
      <c r="I20" s="14">
        <v>8.9999999999999993E-3</v>
      </c>
      <c r="J20" s="19" t="s">
        <v>872</v>
      </c>
      <c r="K20" s="18" t="s">
        <v>873</v>
      </c>
      <c r="L20" s="3">
        <v>1.2200000000000001E-2</v>
      </c>
      <c r="M20" s="95" t="s">
        <v>542</v>
      </c>
      <c r="N20" s="75" t="s">
        <v>543</v>
      </c>
      <c r="O20" s="76">
        <v>1.9400000000000001E-2</v>
      </c>
      <c r="P20" s="27" t="s">
        <v>480</v>
      </c>
      <c r="Q20" s="24" t="s">
        <v>481</v>
      </c>
      <c r="R20" s="76">
        <v>1.3299999999999999E-2</v>
      </c>
      <c r="S20" s="12" t="s">
        <v>521</v>
      </c>
      <c r="T20" s="5" t="s">
        <v>522</v>
      </c>
      <c r="U20" s="3">
        <v>5.4999999999999997E-3</v>
      </c>
      <c r="V20" s="12" t="s">
        <v>502</v>
      </c>
      <c r="W20" s="5" t="s">
        <v>503</v>
      </c>
      <c r="X20" s="14">
        <v>6.0000000000000001E-3</v>
      </c>
      <c r="Y20" s="12" t="s">
        <v>607</v>
      </c>
      <c r="Z20" s="5" t="s">
        <v>608</v>
      </c>
      <c r="AA20" s="3">
        <v>3.3599999999999998E-2</v>
      </c>
      <c r="AB20" s="12" t="s">
        <v>607</v>
      </c>
      <c r="AC20" s="5" t="s">
        <v>608</v>
      </c>
      <c r="AD20" s="3">
        <v>2.5600000000000001E-2</v>
      </c>
      <c r="AE20" s="12" t="s">
        <v>609</v>
      </c>
      <c r="AF20" s="5" t="s">
        <v>610</v>
      </c>
      <c r="AG20" s="3">
        <v>2.7199999999999998E-2</v>
      </c>
      <c r="AH20" s="12" t="s">
        <v>650</v>
      </c>
      <c r="AI20" s="5" t="s">
        <v>651</v>
      </c>
      <c r="AJ20" s="3">
        <v>2.7199999999999998E-2</v>
      </c>
      <c r="AK20" s="83" t="s">
        <v>685</v>
      </c>
      <c r="AL20" s="82" t="s">
        <v>686</v>
      </c>
      <c r="AM20" s="14">
        <v>0.02</v>
      </c>
      <c r="AN20" s="12" t="s">
        <v>734</v>
      </c>
      <c r="AO20" s="77">
        <v>1.66E-2</v>
      </c>
      <c r="AP20" s="83" t="s">
        <v>749</v>
      </c>
      <c r="AQ20" s="82" t="s">
        <v>750</v>
      </c>
      <c r="AR20" s="14">
        <v>1.7500000000000002E-2</v>
      </c>
      <c r="AS20" s="12" t="s">
        <v>657</v>
      </c>
      <c r="AT20" s="5" t="s">
        <v>658</v>
      </c>
      <c r="AU20" s="14">
        <v>1.9599999999999999E-2</v>
      </c>
      <c r="AV20" s="26" t="s">
        <v>533</v>
      </c>
      <c r="AW20" s="4" t="s">
        <v>534</v>
      </c>
      <c r="AX20" s="22">
        <v>6.0000000000000001E-3</v>
      </c>
      <c r="AY20" s="5" t="s">
        <v>533</v>
      </c>
      <c r="AZ20" s="5" t="s">
        <v>534</v>
      </c>
      <c r="BA20" s="73">
        <v>1.5299999999999999E-2</v>
      </c>
      <c r="BB20" s="83" t="s">
        <v>581</v>
      </c>
      <c r="BC20" s="83" t="s">
        <v>580</v>
      </c>
      <c r="BD20" s="21">
        <v>2.5899999999999999E-2</v>
      </c>
      <c r="BE20" s="82" t="s">
        <v>675</v>
      </c>
      <c r="BF20" s="82" t="s">
        <v>874</v>
      </c>
      <c r="BG20" s="16">
        <v>3.6900000000000002E-2</v>
      </c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</row>
    <row r="21" spans="1:71" x14ac:dyDescent="0.2">
      <c r="A21" s="11" t="s">
        <v>864</v>
      </c>
      <c r="B21" s="11" t="s">
        <v>839</v>
      </c>
      <c r="C21" s="14">
        <v>1.84E-2</v>
      </c>
      <c r="D21" s="26" t="s">
        <v>435</v>
      </c>
      <c r="E21" s="5" t="s">
        <v>436</v>
      </c>
      <c r="F21" s="3">
        <v>7.4999999999999997E-3</v>
      </c>
      <c r="G21" s="19" t="s">
        <v>875</v>
      </c>
      <c r="H21" s="18" t="s">
        <v>876</v>
      </c>
      <c r="I21" s="14">
        <v>8.9999999999999993E-3</v>
      </c>
      <c r="J21" s="19" t="s">
        <v>877</v>
      </c>
      <c r="K21" s="18" t="s">
        <v>878</v>
      </c>
      <c r="L21" s="3">
        <v>1.2200000000000001E-2</v>
      </c>
      <c r="M21" s="95" t="s">
        <v>559</v>
      </c>
      <c r="N21" s="75" t="s">
        <v>560</v>
      </c>
      <c r="O21" s="76">
        <v>1.9400000000000001E-2</v>
      </c>
      <c r="P21" s="27" t="s">
        <v>498</v>
      </c>
      <c r="Q21" s="24" t="s">
        <v>499</v>
      </c>
      <c r="R21" s="3">
        <v>1.3299999999999999E-2</v>
      </c>
      <c r="S21" s="94" t="s">
        <v>482</v>
      </c>
      <c r="T21" s="93" t="s">
        <v>483</v>
      </c>
      <c r="U21" s="3">
        <v>5.4999999999999997E-3</v>
      </c>
      <c r="V21" s="94" t="s">
        <v>523</v>
      </c>
      <c r="W21" s="93" t="s">
        <v>524</v>
      </c>
      <c r="X21" s="14">
        <v>6.0000000000000001E-3</v>
      </c>
      <c r="Y21" s="12" t="s">
        <v>628</v>
      </c>
      <c r="Z21" s="5" t="s">
        <v>629</v>
      </c>
      <c r="AA21" s="3">
        <v>3.3599999999999998E-2</v>
      </c>
      <c r="AB21" s="12" t="s">
        <v>628</v>
      </c>
      <c r="AC21" s="5" t="s">
        <v>629</v>
      </c>
      <c r="AD21" s="3">
        <v>2.5600000000000001E-2</v>
      </c>
      <c r="AE21" s="12" t="s">
        <v>630</v>
      </c>
      <c r="AF21" s="5" t="s">
        <v>631</v>
      </c>
      <c r="AG21" s="3">
        <v>2.7199999999999998E-2</v>
      </c>
      <c r="AH21" s="12" t="s">
        <v>669</v>
      </c>
      <c r="AI21" s="5" t="s">
        <v>670</v>
      </c>
      <c r="AJ21" s="3">
        <v>2.7199999999999998E-2</v>
      </c>
      <c r="AK21" s="83" t="s">
        <v>652</v>
      </c>
      <c r="AL21" s="82" t="s">
        <v>653</v>
      </c>
      <c r="AM21" s="14">
        <v>0.02</v>
      </c>
      <c r="AN21" s="12" t="s">
        <v>750</v>
      </c>
      <c r="AO21" s="77">
        <v>1.66E-2</v>
      </c>
      <c r="AP21" s="15" t="s">
        <v>632</v>
      </c>
      <c r="AQ21" s="9" t="s">
        <v>633</v>
      </c>
      <c r="AR21" s="14">
        <v>3.5000000000000003E-2</v>
      </c>
      <c r="AS21" s="12" t="s">
        <v>674</v>
      </c>
      <c r="AT21" s="5" t="s">
        <v>565</v>
      </c>
      <c r="AU21" s="14">
        <v>1.9599999999999999E-2</v>
      </c>
      <c r="AV21" s="26" t="s">
        <v>512</v>
      </c>
      <c r="AW21" s="4" t="s">
        <v>513</v>
      </c>
      <c r="AX21" s="22">
        <v>6.0000000000000001E-3</v>
      </c>
      <c r="AY21" s="5" t="s">
        <v>512</v>
      </c>
      <c r="AZ21" s="5" t="s">
        <v>513</v>
      </c>
      <c r="BA21" s="73">
        <v>1.5299999999999999E-2</v>
      </c>
      <c r="BB21" s="83" t="s">
        <v>597</v>
      </c>
      <c r="BC21" s="83" t="s">
        <v>596</v>
      </c>
      <c r="BD21" s="21">
        <v>2.5899999999999999E-2</v>
      </c>
      <c r="BE21" s="82" t="s">
        <v>690</v>
      </c>
      <c r="BF21" s="82" t="s">
        <v>879</v>
      </c>
      <c r="BG21" s="16">
        <v>3.6900000000000002E-2</v>
      </c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</row>
    <row r="22" spans="1:71" x14ac:dyDescent="0.2">
      <c r="A22" s="11" t="s">
        <v>845</v>
      </c>
      <c r="B22" s="11" t="s">
        <v>880</v>
      </c>
      <c r="C22" s="14">
        <v>1.84E-2</v>
      </c>
      <c r="D22" s="10" t="s">
        <v>881</v>
      </c>
      <c r="E22" s="9" t="s">
        <v>882</v>
      </c>
      <c r="F22" s="25">
        <v>8.3000000000000001E-3</v>
      </c>
      <c r="G22" s="15" t="s">
        <v>883</v>
      </c>
      <c r="H22" s="9" t="s">
        <v>884</v>
      </c>
      <c r="I22" s="14">
        <v>8.9999999999999993E-3</v>
      </c>
      <c r="J22" s="12" t="s">
        <v>517</v>
      </c>
      <c r="K22" s="5" t="s">
        <v>518</v>
      </c>
      <c r="L22" s="3">
        <v>1.4999999999999999E-2</v>
      </c>
      <c r="M22" s="26" t="s">
        <v>575</v>
      </c>
      <c r="N22" s="4" t="s">
        <v>576</v>
      </c>
      <c r="O22" s="3">
        <v>1.9400000000000001E-2</v>
      </c>
      <c r="P22" s="95" t="s">
        <v>542</v>
      </c>
      <c r="Q22" s="75" t="s">
        <v>543</v>
      </c>
      <c r="R22" s="76">
        <v>1.9599999999999999E-2</v>
      </c>
      <c r="S22" s="15" t="s">
        <v>542</v>
      </c>
      <c r="T22" s="9" t="s">
        <v>543</v>
      </c>
      <c r="U22" s="3">
        <v>1.15E-2</v>
      </c>
      <c r="V22" s="83" t="s">
        <v>557</v>
      </c>
      <c r="W22" s="82" t="s">
        <v>558</v>
      </c>
      <c r="X22" s="14">
        <v>1.1900000000000001E-2</v>
      </c>
      <c r="Y22" s="12" t="s">
        <v>648</v>
      </c>
      <c r="Z22" s="5" t="s">
        <v>649</v>
      </c>
      <c r="AA22" s="3">
        <v>3.3599999999999998E-2</v>
      </c>
      <c r="AB22" s="12" t="s">
        <v>648</v>
      </c>
      <c r="AC22" s="5" t="s">
        <v>649</v>
      </c>
      <c r="AD22" s="3">
        <v>2.5600000000000001E-2</v>
      </c>
      <c r="AE22" s="12" t="s">
        <v>650</v>
      </c>
      <c r="AF22" s="5" t="s">
        <v>651</v>
      </c>
      <c r="AG22" s="3">
        <v>2.7199999999999998E-2</v>
      </c>
      <c r="AH22" s="12" t="s">
        <v>685</v>
      </c>
      <c r="AI22" s="5" t="s">
        <v>686</v>
      </c>
      <c r="AJ22" s="3">
        <v>2.7199999999999998E-2</v>
      </c>
      <c r="AK22" s="12" t="s">
        <v>702</v>
      </c>
      <c r="AL22" s="5" t="s">
        <v>703</v>
      </c>
      <c r="AM22" s="14">
        <v>4.0099999999999997E-2</v>
      </c>
      <c r="AN22" s="12" t="s">
        <v>633</v>
      </c>
      <c r="AO22" s="77">
        <v>4.1500000000000002E-2</v>
      </c>
      <c r="AP22" s="15" t="s">
        <v>654</v>
      </c>
      <c r="AQ22" s="9" t="s">
        <v>655</v>
      </c>
      <c r="AR22" s="14">
        <v>3.5000000000000003E-2</v>
      </c>
      <c r="AS22" s="12" t="s">
        <v>687</v>
      </c>
      <c r="AT22" s="5" t="s">
        <v>548</v>
      </c>
      <c r="AU22" s="14">
        <v>2.7199999999999998E-2</v>
      </c>
      <c r="AV22" s="78" t="s">
        <v>635</v>
      </c>
      <c r="AW22" s="81" t="s">
        <v>636</v>
      </c>
      <c r="AX22" s="22">
        <v>1.1900000000000001E-2</v>
      </c>
      <c r="AY22" s="82" t="s">
        <v>687</v>
      </c>
      <c r="AZ22" s="82" t="s">
        <v>548</v>
      </c>
      <c r="BA22" s="73">
        <v>1.83E-2</v>
      </c>
      <c r="BB22" s="83" t="s">
        <v>616</v>
      </c>
      <c r="BC22" s="83" t="s">
        <v>615</v>
      </c>
      <c r="BD22" s="21">
        <v>2.5899999999999999E-2</v>
      </c>
      <c r="BE22" s="82" t="s">
        <v>706</v>
      </c>
      <c r="BF22" s="82" t="s">
        <v>885</v>
      </c>
      <c r="BG22" s="16">
        <v>3.6900000000000002E-2</v>
      </c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</row>
    <row r="23" spans="1:71" x14ac:dyDescent="0.2">
      <c r="A23" s="5" t="s">
        <v>854</v>
      </c>
      <c r="B23" s="5" t="s">
        <v>855</v>
      </c>
      <c r="C23" s="14">
        <v>1.84E-2</v>
      </c>
      <c r="D23" s="10" t="s">
        <v>886</v>
      </c>
      <c r="E23" s="9" t="s">
        <v>887</v>
      </c>
      <c r="F23" s="25">
        <v>8.3000000000000001E-3</v>
      </c>
      <c r="G23" s="12" t="s">
        <v>872</v>
      </c>
      <c r="H23" s="5" t="s">
        <v>873</v>
      </c>
      <c r="I23" s="14">
        <v>1.4500000000000001E-2</v>
      </c>
      <c r="J23" s="12" t="s">
        <v>538</v>
      </c>
      <c r="K23" s="5" t="s">
        <v>539</v>
      </c>
      <c r="L23" s="3">
        <v>1.4999999999999999E-2</v>
      </c>
      <c r="M23" s="26" t="s">
        <v>557</v>
      </c>
      <c r="N23" s="4" t="s">
        <v>558</v>
      </c>
      <c r="O23" s="3">
        <v>1.9400000000000001E-2</v>
      </c>
      <c r="P23" s="95" t="s">
        <v>559</v>
      </c>
      <c r="Q23" s="4" t="s">
        <v>560</v>
      </c>
      <c r="R23" s="76">
        <v>1.9599999999999999E-2</v>
      </c>
      <c r="S23" s="15" t="s">
        <v>559</v>
      </c>
      <c r="T23" s="9" t="s">
        <v>560</v>
      </c>
      <c r="U23" s="3">
        <v>1.15E-2</v>
      </c>
      <c r="V23" s="43" t="s">
        <v>519</v>
      </c>
      <c r="W23" s="44" t="s">
        <v>520</v>
      </c>
      <c r="X23" s="14">
        <v>1.1900000000000001E-2</v>
      </c>
      <c r="Y23" s="15" t="s">
        <v>700</v>
      </c>
      <c r="Z23" s="9" t="s">
        <v>701</v>
      </c>
      <c r="AA23" s="3">
        <v>9.1800000000000007E-2</v>
      </c>
      <c r="AB23" s="12" t="s">
        <v>609</v>
      </c>
      <c r="AC23" s="5" t="s">
        <v>610</v>
      </c>
      <c r="AD23" s="3">
        <v>2.5600000000000001E-2</v>
      </c>
      <c r="AE23" s="12" t="s">
        <v>729</v>
      </c>
      <c r="AF23" s="5" t="s">
        <v>730</v>
      </c>
      <c r="AG23" s="3">
        <v>0.1</v>
      </c>
      <c r="AH23" s="83" t="s">
        <v>729</v>
      </c>
      <c r="AI23" s="82" t="s">
        <v>730</v>
      </c>
      <c r="AJ23" s="3">
        <v>0.1</v>
      </c>
      <c r="AK23" s="12" t="s">
        <v>715</v>
      </c>
      <c r="AL23" s="5" t="s">
        <v>716</v>
      </c>
      <c r="AM23" s="14">
        <v>4.0099999999999997E-2</v>
      </c>
      <c r="AN23" s="12" t="s">
        <v>655</v>
      </c>
      <c r="AO23" s="77">
        <v>4.1500000000000002E-2</v>
      </c>
      <c r="AP23" s="15" t="s">
        <v>671</v>
      </c>
      <c r="AQ23" s="9" t="s">
        <v>672</v>
      </c>
      <c r="AR23" s="14">
        <v>3.5000000000000003E-2</v>
      </c>
      <c r="AS23" s="12" t="s">
        <v>581</v>
      </c>
      <c r="AT23" s="5" t="s">
        <v>580</v>
      </c>
      <c r="AU23" s="14">
        <v>2.7199999999999998E-2</v>
      </c>
      <c r="AV23" s="78" t="s">
        <v>657</v>
      </c>
      <c r="AW23" s="81" t="s">
        <v>658</v>
      </c>
      <c r="AX23" s="22">
        <v>1.1900000000000001E-2</v>
      </c>
      <c r="AY23" s="71" t="s">
        <v>581</v>
      </c>
      <c r="AZ23" s="71" t="s">
        <v>580</v>
      </c>
      <c r="BA23" s="73">
        <v>1.83E-2</v>
      </c>
      <c r="BB23" s="12" t="s">
        <v>675</v>
      </c>
      <c r="BC23" s="12" t="s">
        <v>676</v>
      </c>
      <c r="BD23" s="21">
        <v>3.4599999999999999E-2</v>
      </c>
      <c r="BE23" s="5" t="s">
        <v>661</v>
      </c>
      <c r="BF23" s="5" t="s">
        <v>888</v>
      </c>
      <c r="BG23" s="16">
        <v>3.1600000000000003E-2</v>
      </c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</row>
    <row r="24" spans="1:71" x14ac:dyDescent="0.2">
      <c r="A24" s="9" t="s">
        <v>889</v>
      </c>
      <c r="B24" s="9" t="s">
        <v>890</v>
      </c>
      <c r="C24" s="14">
        <v>1.41E-2</v>
      </c>
      <c r="D24" s="10" t="s">
        <v>891</v>
      </c>
      <c r="E24" s="9" t="s">
        <v>892</v>
      </c>
      <c r="F24" s="25">
        <v>8.3000000000000001E-3</v>
      </c>
      <c r="G24" s="12" t="s">
        <v>877</v>
      </c>
      <c r="H24" s="5" t="s">
        <v>878</v>
      </c>
      <c r="I24" s="14">
        <v>1.4500000000000001E-2</v>
      </c>
      <c r="J24" s="13" t="s">
        <v>480</v>
      </c>
      <c r="K24" s="11" t="s">
        <v>481</v>
      </c>
      <c r="L24" s="3">
        <v>2.1499999999999998E-2</v>
      </c>
      <c r="M24" s="20" t="s">
        <v>480</v>
      </c>
      <c r="N24" s="23" t="s">
        <v>481</v>
      </c>
      <c r="O24" s="3">
        <v>2.87E-2</v>
      </c>
      <c r="P24" s="26" t="s">
        <v>575</v>
      </c>
      <c r="Q24" s="4" t="s">
        <v>576</v>
      </c>
      <c r="R24" s="3">
        <v>1.9599999999999999E-2</v>
      </c>
      <c r="S24" s="15" t="s">
        <v>575</v>
      </c>
      <c r="T24" s="9" t="s">
        <v>576</v>
      </c>
      <c r="U24" s="3">
        <v>1.15E-2</v>
      </c>
      <c r="V24" s="43" t="s">
        <v>540</v>
      </c>
      <c r="W24" s="44" t="s">
        <v>541</v>
      </c>
      <c r="X24" s="14">
        <v>1.1900000000000001E-2</v>
      </c>
      <c r="Y24" s="15" t="s">
        <v>713</v>
      </c>
      <c r="Z24" s="9" t="s">
        <v>714</v>
      </c>
      <c r="AA24" s="3">
        <v>9.1800000000000007E-2</v>
      </c>
      <c r="AB24" s="12" t="s">
        <v>630</v>
      </c>
      <c r="AC24" s="5" t="s">
        <v>631</v>
      </c>
      <c r="AD24" s="3">
        <v>2.5600000000000001E-2</v>
      </c>
      <c r="AE24" s="83" t="s">
        <v>745</v>
      </c>
      <c r="AF24" s="82" t="s">
        <v>746</v>
      </c>
      <c r="AG24" s="3">
        <v>0.1</v>
      </c>
      <c r="AH24" s="12" t="s">
        <v>774</v>
      </c>
      <c r="AI24" s="5" t="s">
        <v>775</v>
      </c>
      <c r="AJ24" s="3">
        <v>0.1</v>
      </c>
      <c r="AK24" s="12" t="s">
        <v>733</v>
      </c>
      <c r="AL24" s="5" t="s">
        <v>734</v>
      </c>
      <c r="AM24" s="14">
        <v>4.0099999999999997E-2</v>
      </c>
      <c r="AN24" s="12" t="s">
        <v>672</v>
      </c>
      <c r="AO24" s="77">
        <v>4.1500000000000002E-2</v>
      </c>
      <c r="AP24" s="12" t="s">
        <v>613</v>
      </c>
      <c r="AQ24" s="5" t="s">
        <v>614</v>
      </c>
      <c r="AR24" s="14">
        <v>3.9399999999999998E-2</v>
      </c>
      <c r="AS24" s="12" t="s">
        <v>597</v>
      </c>
      <c r="AT24" s="5" t="s">
        <v>596</v>
      </c>
      <c r="AU24" s="14">
        <v>2.7199999999999998E-2</v>
      </c>
      <c r="AV24" s="78" t="s">
        <v>674</v>
      </c>
      <c r="AW24" s="81" t="s">
        <v>565</v>
      </c>
      <c r="AX24" s="22">
        <v>1.1900000000000001E-2</v>
      </c>
      <c r="AY24" s="71" t="s">
        <v>597</v>
      </c>
      <c r="AZ24" s="71" t="s">
        <v>596</v>
      </c>
      <c r="BA24" s="73">
        <v>1.83E-2</v>
      </c>
      <c r="BB24" s="12" t="s">
        <v>690</v>
      </c>
      <c r="BC24" s="12" t="s">
        <v>691</v>
      </c>
      <c r="BD24" s="21">
        <v>3.4599999999999999E-2</v>
      </c>
      <c r="BE24" s="5" t="s">
        <v>677</v>
      </c>
      <c r="BF24" s="5" t="s">
        <v>893</v>
      </c>
      <c r="BG24" s="16">
        <v>3.1600000000000003E-2</v>
      </c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</row>
    <row r="25" spans="1:71" x14ac:dyDescent="0.2">
      <c r="A25" s="9" t="s">
        <v>894</v>
      </c>
      <c r="B25" s="9" t="s">
        <v>895</v>
      </c>
      <c r="C25" s="14">
        <v>1.41E-2</v>
      </c>
      <c r="D25" s="20" t="s">
        <v>896</v>
      </c>
      <c r="E25" s="11" t="s">
        <v>871</v>
      </c>
      <c r="F25" s="46">
        <v>1.34E-2</v>
      </c>
      <c r="G25" s="12" t="s">
        <v>517</v>
      </c>
      <c r="H25" s="5" t="s">
        <v>518</v>
      </c>
      <c r="I25" s="14">
        <v>2.9399999999999999E-2</v>
      </c>
      <c r="J25" s="13" t="s">
        <v>498</v>
      </c>
      <c r="K25" s="11" t="s">
        <v>499</v>
      </c>
      <c r="L25" s="3">
        <v>2.1499999999999998E-2</v>
      </c>
      <c r="M25" s="20" t="s">
        <v>498</v>
      </c>
      <c r="N25" s="23" t="s">
        <v>499</v>
      </c>
      <c r="O25" s="3">
        <v>2.87E-2</v>
      </c>
      <c r="P25" s="26" t="s">
        <v>557</v>
      </c>
      <c r="Q25" s="4" t="s">
        <v>558</v>
      </c>
      <c r="R25" s="3">
        <v>1.9599999999999999E-2</v>
      </c>
      <c r="S25" s="12" t="s">
        <v>557</v>
      </c>
      <c r="T25" s="5" t="s">
        <v>558</v>
      </c>
      <c r="U25" s="3">
        <v>1.7000000000000001E-2</v>
      </c>
      <c r="V25" s="12" t="s">
        <v>592</v>
      </c>
      <c r="W25" s="5" t="s">
        <v>593</v>
      </c>
      <c r="X25" s="14">
        <v>1.7500000000000002E-2</v>
      </c>
      <c r="Y25" s="13" t="s">
        <v>727</v>
      </c>
      <c r="Z25" s="11" t="s">
        <v>728</v>
      </c>
      <c r="AA25" s="3">
        <v>9.1800000000000007E-2</v>
      </c>
      <c r="AB25" s="12" t="s">
        <v>650</v>
      </c>
      <c r="AC25" s="5" t="s">
        <v>651</v>
      </c>
      <c r="AD25" s="3">
        <v>2.5600000000000001E-2</v>
      </c>
      <c r="AE25" s="83" t="s">
        <v>761</v>
      </c>
      <c r="AF25" s="82" t="s">
        <v>762</v>
      </c>
      <c r="AG25" s="3">
        <v>0.1</v>
      </c>
      <c r="AH25" s="83" t="s">
        <v>731</v>
      </c>
      <c r="AI25" s="82" t="s">
        <v>732</v>
      </c>
      <c r="AJ25" s="3">
        <v>0.1</v>
      </c>
      <c r="AK25" s="12" t="s">
        <v>749</v>
      </c>
      <c r="AL25" s="5" t="s">
        <v>750</v>
      </c>
      <c r="AM25" s="14">
        <v>4.0099999999999997E-2</v>
      </c>
      <c r="AN25" s="12" t="s">
        <v>614</v>
      </c>
      <c r="AO25" s="77">
        <v>4.1500000000000002E-2</v>
      </c>
      <c r="AP25" s="12" t="s">
        <v>687</v>
      </c>
      <c r="AQ25" s="5" t="s">
        <v>548</v>
      </c>
      <c r="AR25" s="14">
        <v>3.9399999999999998E-2</v>
      </c>
      <c r="AS25" s="12" t="s">
        <v>616</v>
      </c>
      <c r="AT25" s="5" t="s">
        <v>615</v>
      </c>
      <c r="AU25" s="14">
        <v>2.7199999999999998E-2</v>
      </c>
      <c r="AV25" s="26" t="s">
        <v>581</v>
      </c>
      <c r="AW25" s="4" t="s">
        <v>580</v>
      </c>
      <c r="AX25" s="22">
        <v>1.7500000000000002E-2</v>
      </c>
      <c r="AY25" s="71" t="s">
        <v>616</v>
      </c>
      <c r="AZ25" s="71" t="s">
        <v>615</v>
      </c>
      <c r="BA25" s="73">
        <v>1.83E-2</v>
      </c>
      <c r="BB25" s="12" t="s">
        <v>706</v>
      </c>
      <c r="BC25" s="12" t="s">
        <v>707</v>
      </c>
      <c r="BD25" s="21">
        <v>3.4599999999999999E-2</v>
      </c>
      <c r="BE25" s="5" t="s">
        <v>692</v>
      </c>
      <c r="BF25" s="5" t="s">
        <v>897</v>
      </c>
      <c r="BG25" s="16">
        <v>3.1600000000000003E-2</v>
      </c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</row>
    <row r="26" spans="1:71" x14ac:dyDescent="0.2">
      <c r="A26" s="9" t="s">
        <v>898</v>
      </c>
      <c r="B26" s="9" t="s">
        <v>899</v>
      </c>
      <c r="C26" s="14">
        <v>1.41E-2</v>
      </c>
      <c r="D26" s="20" t="s">
        <v>875</v>
      </c>
      <c r="E26" s="11" t="s">
        <v>876</v>
      </c>
      <c r="F26" s="46">
        <v>1.34E-2</v>
      </c>
      <c r="G26" s="12" t="s">
        <v>538</v>
      </c>
      <c r="H26" s="5" t="s">
        <v>539</v>
      </c>
      <c r="I26" s="14">
        <v>2.9399999999999999E-2</v>
      </c>
      <c r="J26" s="12" t="s">
        <v>542</v>
      </c>
      <c r="K26" s="5" t="s">
        <v>543</v>
      </c>
      <c r="L26" s="3">
        <v>2.5499999999999998E-2</v>
      </c>
      <c r="M26" s="10" t="s">
        <v>622</v>
      </c>
      <c r="N26" s="17" t="s">
        <v>623</v>
      </c>
      <c r="O26" s="3">
        <v>7.2700000000000001E-2</v>
      </c>
      <c r="P26" s="26" t="s">
        <v>519</v>
      </c>
      <c r="Q26" s="4" t="s">
        <v>520</v>
      </c>
      <c r="R26" s="3">
        <v>2.4899999999999999E-2</v>
      </c>
      <c r="S26" s="12" t="s">
        <v>519</v>
      </c>
      <c r="T26" s="5" t="s">
        <v>520</v>
      </c>
      <c r="U26" s="3">
        <v>1.7000000000000001E-2</v>
      </c>
      <c r="V26" s="94" t="s">
        <v>605</v>
      </c>
      <c r="W26" s="93" t="s">
        <v>606</v>
      </c>
      <c r="X26" s="14">
        <v>1.7500000000000002E-2</v>
      </c>
      <c r="Y26" s="12" t="s">
        <v>698</v>
      </c>
      <c r="Z26" s="5" t="s">
        <v>699</v>
      </c>
      <c r="AA26" s="3">
        <v>9.1800000000000007E-2</v>
      </c>
      <c r="AB26" s="97" t="s">
        <v>727</v>
      </c>
      <c r="AC26" s="96" t="s">
        <v>728</v>
      </c>
      <c r="AD26" s="3">
        <v>8.3799999999999999E-2</v>
      </c>
      <c r="AE26" s="12" t="s">
        <v>774</v>
      </c>
      <c r="AF26" s="5" t="s">
        <v>775</v>
      </c>
      <c r="AG26" s="3">
        <v>0.1</v>
      </c>
      <c r="AH26" s="83" t="s">
        <v>747</v>
      </c>
      <c r="AI26" s="82" t="s">
        <v>748</v>
      </c>
      <c r="AJ26" s="3">
        <v>0.1</v>
      </c>
      <c r="AK26" s="83" t="s">
        <v>763</v>
      </c>
      <c r="AL26" s="82" t="s">
        <v>764</v>
      </c>
      <c r="AM26" s="14">
        <v>6.6799999999999998E-2</v>
      </c>
      <c r="AN26" s="83" t="s">
        <v>796</v>
      </c>
      <c r="AO26" s="77">
        <v>4.1500000000000002E-2</v>
      </c>
      <c r="AP26" s="83" t="s">
        <v>800</v>
      </c>
      <c r="AQ26" s="82" t="s">
        <v>801</v>
      </c>
      <c r="AR26" s="14">
        <v>5.2499999999999998E-2</v>
      </c>
      <c r="AS26" s="83" t="s">
        <v>717</v>
      </c>
      <c r="AT26" s="82" t="s">
        <v>718</v>
      </c>
      <c r="AU26" s="14">
        <v>7.5999999999999998E-2</v>
      </c>
      <c r="AV26" s="26" t="s">
        <v>581</v>
      </c>
      <c r="AW26" s="4" t="s">
        <v>580</v>
      </c>
      <c r="AX26" s="22">
        <v>1.7500000000000002E-2</v>
      </c>
      <c r="AY26" s="5" t="s">
        <v>675</v>
      </c>
      <c r="AZ26" s="5" t="s">
        <v>676</v>
      </c>
      <c r="BA26" s="73">
        <v>3.0499999999999999E-2</v>
      </c>
      <c r="BB26" s="12" t="s">
        <v>659</v>
      </c>
      <c r="BC26" s="12" t="s">
        <v>660</v>
      </c>
      <c r="BD26" s="21">
        <v>3.4599999999999999E-2</v>
      </c>
      <c r="BE26" s="5" t="s">
        <v>659</v>
      </c>
      <c r="BF26" s="5" t="s">
        <v>900</v>
      </c>
      <c r="BG26" s="16">
        <v>2.3699999999999999E-2</v>
      </c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</row>
    <row r="27" spans="1:71" x14ac:dyDescent="0.2">
      <c r="A27" s="5" t="s">
        <v>881</v>
      </c>
      <c r="B27" s="5" t="s">
        <v>882</v>
      </c>
      <c r="C27" s="14">
        <v>2.4299999999999999E-2</v>
      </c>
      <c r="D27" s="26" t="s">
        <v>883</v>
      </c>
      <c r="E27" s="5" t="s">
        <v>884</v>
      </c>
      <c r="F27" s="3">
        <v>1.34E-2</v>
      </c>
      <c r="G27" s="12" t="s">
        <v>480</v>
      </c>
      <c r="H27" s="5" t="s">
        <v>481</v>
      </c>
      <c r="I27" s="14">
        <v>2.9399999999999999E-2</v>
      </c>
      <c r="J27" s="12" t="s">
        <v>559</v>
      </c>
      <c r="K27" s="5" t="s">
        <v>560</v>
      </c>
      <c r="L27" s="3">
        <v>2.5499999999999998E-2</v>
      </c>
      <c r="M27" s="10" t="s">
        <v>642</v>
      </c>
      <c r="N27" s="17" t="s">
        <v>643</v>
      </c>
      <c r="O27" s="76">
        <v>7.2700000000000001E-2</v>
      </c>
      <c r="P27" s="95" t="s">
        <v>540</v>
      </c>
      <c r="Q27" s="75" t="s">
        <v>541</v>
      </c>
      <c r="R27" s="76">
        <v>2.4899999999999999E-2</v>
      </c>
      <c r="S27" s="12" t="s">
        <v>540</v>
      </c>
      <c r="T27" s="5" t="s">
        <v>541</v>
      </c>
      <c r="U27" s="3">
        <v>1.7000000000000001E-2</v>
      </c>
      <c r="V27" s="12" t="s">
        <v>626</v>
      </c>
      <c r="W27" s="5" t="s">
        <v>627</v>
      </c>
      <c r="X27" s="14">
        <v>1.7500000000000002E-2</v>
      </c>
      <c r="Y27" s="12" t="s">
        <v>729</v>
      </c>
      <c r="Z27" s="5" t="s">
        <v>730</v>
      </c>
      <c r="AA27" s="3">
        <v>9.1800000000000007E-2</v>
      </c>
      <c r="AB27" s="15" t="s">
        <v>698</v>
      </c>
      <c r="AC27" s="9" t="s">
        <v>699</v>
      </c>
      <c r="AD27" s="3">
        <v>8.3799999999999999E-2</v>
      </c>
      <c r="AE27" s="12" t="s">
        <v>731</v>
      </c>
      <c r="AF27" s="5" t="s">
        <v>732</v>
      </c>
      <c r="AG27" s="3">
        <v>0.1</v>
      </c>
      <c r="AH27" s="12" t="s">
        <v>763</v>
      </c>
      <c r="AI27" s="5" t="s">
        <v>764</v>
      </c>
      <c r="AJ27" s="3">
        <v>0.1</v>
      </c>
      <c r="AK27" s="83" t="s">
        <v>783</v>
      </c>
      <c r="AL27" s="82" t="s">
        <v>784</v>
      </c>
      <c r="AM27" s="14">
        <v>6.6799999999999998E-2</v>
      </c>
      <c r="AN27" s="12" t="s">
        <v>801</v>
      </c>
      <c r="AO27" s="77">
        <v>4.9799999999999997E-2</v>
      </c>
      <c r="AP27" s="83" t="s">
        <v>802</v>
      </c>
      <c r="AQ27" s="82" t="s">
        <v>803</v>
      </c>
      <c r="AR27" s="14">
        <v>5.2499999999999998E-2</v>
      </c>
      <c r="AS27" s="12" t="s">
        <v>737</v>
      </c>
      <c r="AT27" s="5" t="s">
        <v>738</v>
      </c>
      <c r="AU27" s="14">
        <v>8.6900000000000005E-2</v>
      </c>
      <c r="AV27" s="26" t="s">
        <v>597</v>
      </c>
      <c r="AW27" s="4" t="s">
        <v>596</v>
      </c>
      <c r="AX27" s="22">
        <v>1.7500000000000002E-2</v>
      </c>
      <c r="AY27" s="5" t="s">
        <v>690</v>
      </c>
      <c r="AZ27" s="5" t="s">
        <v>691</v>
      </c>
      <c r="BA27" s="73">
        <v>3.0499999999999999E-2</v>
      </c>
      <c r="BB27" s="12" t="s">
        <v>637</v>
      </c>
      <c r="BC27" s="12" t="s">
        <v>638</v>
      </c>
      <c r="BD27" s="21">
        <v>3.4599999999999999E-2</v>
      </c>
      <c r="BE27" s="5" t="s">
        <v>637</v>
      </c>
      <c r="BF27" s="5" t="s">
        <v>901</v>
      </c>
      <c r="BG27" s="16">
        <v>2.3699999999999999E-2</v>
      </c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</row>
    <row r="28" spans="1:71" x14ac:dyDescent="0.2">
      <c r="A28" s="5" t="s">
        <v>886</v>
      </c>
      <c r="B28" s="5" t="s">
        <v>887</v>
      </c>
      <c r="C28" s="14">
        <v>2.4299999999999999E-2</v>
      </c>
      <c r="D28" s="26" t="s">
        <v>872</v>
      </c>
      <c r="E28" s="5" t="s">
        <v>873</v>
      </c>
      <c r="F28" s="3">
        <v>2.7099999999999999E-2</v>
      </c>
      <c r="G28" s="12" t="s">
        <v>498</v>
      </c>
      <c r="H28" s="5" t="s">
        <v>499</v>
      </c>
      <c r="I28" s="14">
        <v>2.9399999999999999E-2</v>
      </c>
      <c r="J28" s="12" t="s">
        <v>575</v>
      </c>
      <c r="K28" s="5" t="s">
        <v>576</v>
      </c>
      <c r="L28" s="3">
        <v>2.5499999999999998E-2</v>
      </c>
      <c r="M28" s="26" t="s">
        <v>646</v>
      </c>
      <c r="N28" s="4" t="s">
        <v>647</v>
      </c>
      <c r="O28" s="3">
        <v>9.3799999999999994E-2</v>
      </c>
      <c r="P28" s="26" t="s">
        <v>590</v>
      </c>
      <c r="Q28" s="4" t="s">
        <v>591</v>
      </c>
      <c r="R28" s="3">
        <v>2.4899999999999999E-2</v>
      </c>
      <c r="S28" s="12" t="s">
        <v>592</v>
      </c>
      <c r="T28" s="5" t="s">
        <v>593</v>
      </c>
      <c r="U28" s="3">
        <v>2.1499999999999998E-2</v>
      </c>
      <c r="V28" s="12" t="s">
        <v>590</v>
      </c>
      <c r="W28" s="5" t="s">
        <v>591</v>
      </c>
      <c r="X28" s="14">
        <v>1.7500000000000002E-2</v>
      </c>
      <c r="Y28" s="12" t="s">
        <v>745</v>
      </c>
      <c r="Z28" s="5" t="s">
        <v>746</v>
      </c>
      <c r="AA28" s="3">
        <v>9.1800000000000007E-2</v>
      </c>
      <c r="AB28" s="12" t="s">
        <v>729</v>
      </c>
      <c r="AC28" s="5" t="s">
        <v>730</v>
      </c>
      <c r="AD28" s="3">
        <v>8.3799999999999999E-2</v>
      </c>
      <c r="AE28" s="12" t="s">
        <v>747</v>
      </c>
      <c r="AF28" s="5" t="s">
        <v>748</v>
      </c>
      <c r="AG28" s="3">
        <v>0.1</v>
      </c>
      <c r="AH28" s="12" t="s">
        <v>783</v>
      </c>
      <c r="AI28" s="5" t="s">
        <v>784</v>
      </c>
      <c r="AJ28" s="3">
        <v>0.1</v>
      </c>
      <c r="AK28" s="83" t="s">
        <v>790</v>
      </c>
      <c r="AL28" s="82" t="s">
        <v>791</v>
      </c>
      <c r="AM28" s="14">
        <v>6.6799999999999998E-2</v>
      </c>
      <c r="AN28" s="12" t="s">
        <v>803</v>
      </c>
      <c r="AO28" s="77">
        <v>4.9799999999999997E-2</v>
      </c>
      <c r="AP28" s="83" t="s">
        <v>804</v>
      </c>
      <c r="AQ28" s="82" t="s">
        <v>805</v>
      </c>
      <c r="AR28" s="14">
        <v>5.2499999999999998E-2</v>
      </c>
      <c r="AS28" s="12" t="s">
        <v>753</v>
      </c>
      <c r="AT28" s="5" t="s">
        <v>754</v>
      </c>
      <c r="AU28" s="14">
        <v>8.6900000000000005E-2</v>
      </c>
      <c r="AV28" s="26" t="s">
        <v>616</v>
      </c>
      <c r="AW28" s="4" t="s">
        <v>615</v>
      </c>
      <c r="AX28" s="22">
        <v>1.7500000000000002E-2</v>
      </c>
      <c r="AY28" s="5" t="s">
        <v>706</v>
      </c>
      <c r="AZ28" s="5" t="s">
        <v>707</v>
      </c>
      <c r="BA28" s="73">
        <v>3.0499999999999999E-2</v>
      </c>
      <c r="BB28" s="12" t="s">
        <v>617</v>
      </c>
      <c r="BC28" s="12" t="s">
        <v>618</v>
      </c>
      <c r="BD28" s="21">
        <v>3.4599999999999999E-2</v>
      </c>
      <c r="BE28" s="5" t="s">
        <v>617</v>
      </c>
      <c r="BF28" s="5" t="s">
        <v>902</v>
      </c>
      <c r="BG28" s="16">
        <v>2.3699999999999999E-2</v>
      </c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</row>
    <row r="29" spans="1:71" x14ac:dyDescent="0.2">
      <c r="A29" s="5" t="s">
        <v>891</v>
      </c>
      <c r="B29" s="5" t="s">
        <v>892</v>
      </c>
      <c r="C29" s="14">
        <v>2.4299999999999999E-2</v>
      </c>
      <c r="D29" s="26" t="s">
        <v>877</v>
      </c>
      <c r="E29" s="5" t="s">
        <v>878</v>
      </c>
      <c r="F29" s="3">
        <v>2.7099999999999999E-2</v>
      </c>
      <c r="G29" s="19" t="s">
        <v>903</v>
      </c>
      <c r="H29" s="18" t="s">
        <v>904</v>
      </c>
      <c r="I29" s="14">
        <v>4.1200000000000001E-2</v>
      </c>
      <c r="J29" s="19" t="s">
        <v>905</v>
      </c>
      <c r="K29" s="18" t="s">
        <v>906</v>
      </c>
      <c r="L29" s="3">
        <v>0.05</v>
      </c>
      <c r="M29" s="95" t="s">
        <v>667</v>
      </c>
      <c r="N29" s="75" t="s">
        <v>668</v>
      </c>
      <c r="O29" s="76">
        <v>9.3799999999999994E-2</v>
      </c>
      <c r="P29" s="27" t="s">
        <v>573</v>
      </c>
      <c r="Q29" s="24" t="s">
        <v>574</v>
      </c>
      <c r="R29" s="76">
        <v>6.4199999999999993E-2</v>
      </c>
      <c r="S29" s="94" t="s">
        <v>605</v>
      </c>
      <c r="T29" s="93" t="s">
        <v>606</v>
      </c>
      <c r="U29" s="3">
        <v>2.1499999999999998E-2</v>
      </c>
      <c r="V29" s="12" t="s">
        <v>607</v>
      </c>
      <c r="W29" s="5" t="s">
        <v>608</v>
      </c>
      <c r="X29" s="14">
        <v>2.1899999999999999E-2</v>
      </c>
      <c r="Y29" s="12" t="s">
        <v>761</v>
      </c>
      <c r="Z29" s="5" t="s">
        <v>762</v>
      </c>
      <c r="AA29" s="3">
        <v>9.1800000000000007E-2</v>
      </c>
      <c r="AB29" s="12" t="s">
        <v>745</v>
      </c>
      <c r="AC29" s="5" t="s">
        <v>746</v>
      </c>
      <c r="AD29" s="3">
        <v>8.3799999999999999E-2</v>
      </c>
      <c r="AE29" s="12" t="s">
        <v>763</v>
      </c>
      <c r="AF29" s="5" t="s">
        <v>764</v>
      </c>
      <c r="AG29" s="3">
        <v>0.1</v>
      </c>
      <c r="AH29" s="12" t="s">
        <v>790</v>
      </c>
      <c r="AI29" s="5" t="s">
        <v>791</v>
      </c>
      <c r="AJ29" s="3">
        <v>0.1</v>
      </c>
      <c r="AK29" s="83" t="s">
        <v>774</v>
      </c>
      <c r="AL29" s="82" t="s">
        <v>775</v>
      </c>
      <c r="AM29" s="14">
        <v>6.6799999999999998E-2</v>
      </c>
      <c r="AN29" s="12" t="s">
        <v>805</v>
      </c>
      <c r="AO29" s="77">
        <v>4.9799999999999997E-2</v>
      </c>
      <c r="AP29" s="15" t="s">
        <v>735</v>
      </c>
      <c r="AQ29" s="9" t="s">
        <v>736</v>
      </c>
      <c r="AR29" s="14">
        <v>0.105</v>
      </c>
      <c r="AS29" s="12" t="s">
        <v>767</v>
      </c>
      <c r="AT29" s="5" t="s">
        <v>656</v>
      </c>
      <c r="AU29" s="14">
        <v>8.6900000000000005E-2</v>
      </c>
      <c r="AV29" s="26" t="s">
        <v>659</v>
      </c>
      <c r="AW29" s="4" t="s">
        <v>660</v>
      </c>
      <c r="AX29" s="22">
        <v>2.1899999999999999E-2</v>
      </c>
      <c r="AY29" s="5" t="s">
        <v>659</v>
      </c>
      <c r="AZ29" s="5" t="s">
        <v>660</v>
      </c>
      <c r="BA29" s="73">
        <v>3.0499999999999999E-2</v>
      </c>
      <c r="BB29" s="83" t="s">
        <v>689</v>
      </c>
      <c r="BC29" s="83" t="s">
        <v>673</v>
      </c>
      <c r="BD29" s="21">
        <v>5.1900000000000002E-2</v>
      </c>
      <c r="BE29" s="82" t="s">
        <v>768</v>
      </c>
      <c r="BF29" s="82" t="s">
        <v>907</v>
      </c>
      <c r="BG29" s="16">
        <v>7.3800000000000004E-2</v>
      </c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</row>
    <row r="30" spans="1:71" x14ac:dyDescent="0.2">
      <c r="A30" s="5" t="s">
        <v>872</v>
      </c>
      <c r="B30" s="5" t="s">
        <v>873</v>
      </c>
      <c r="C30" s="14">
        <v>2.4299999999999999E-2</v>
      </c>
      <c r="D30" s="26" t="s">
        <v>517</v>
      </c>
      <c r="E30" s="5" t="s">
        <v>518</v>
      </c>
      <c r="F30" s="3">
        <v>2.7099999999999999E-2</v>
      </c>
      <c r="G30" s="19" t="s">
        <v>908</v>
      </c>
      <c r="H30" s="18" t="s">
        <v>909</v>
      </c>
      <c r="I30" s="14">
        <v>4.1200000000000001E-2</v>
      </c>
      <c r="J30" s="19" t="s">
        <v>910</v>
      </c>
      <c r="K30" s="18" t="s">
        <v>911</v>
      </c>
      <c r="L30" s="3">
        <v>0.05</v>
      </c>
      <c r="M30" s="26" t="s">
        <v>683</v>
      </c>
      <c r="N30" s="4" t="s">
        <v>684</v>
      </c>
      <c r="O30" s="3">
        <v>9.3799999999999994E-2</v>
      </c>
      <c r="P30" s="27" t="s">
        <v>588</v>
      </c>
      <c r="Q30" s="24" t="s">
        <v>589</v>
      </c>
      <c r="R30" s="3">
        <v>6.4199999999999993E-2</v>
      </c>
      <c r="S30" s="12" t="s">
        <v>626</v>
      </c>
      <c r="T30" s="5" t="s">
        <v>627</v>
      </c>
      <c r="U30" s="3">
        <v>2.1499999999999998E-2</v>
      </c>
      <c r="V30" s="12" t="s">
        <v>628</v>
      </c>
      <c r="W30" s="5" t="s">
        <v>629</v>
      </c>
      <c r="X30" s="14">
        <v>2.1899999999999999E-2</v>
      </c>
      <c r="Y30" s="12" t="s">
        <v>912</v>
      </c>
      <c r="Z30" s="5" t="s">
        <v>912</v>
      </c>
      <c r="AA30" s="3">
        <v>3.5000000000000003E-2</v>
      </c>
      <c r="AB30" s="12" t="s">
        <v>761</v>
      </c>
      <c r="AC30" s="5" t="s">
        <v>762</v>
      </c>
      <c r="AD30" s="3">
        <v>8.3799999999999999E-2</v>
      </c>
      <c r="AE30" s="12" t="s">
        <v>912</v>
      </c>
      <c r="AF30" s="5" t="s">
        <v>912</v>
      </c>
      <c r="AG30" s="3">
        <v>5.0000000000000001E-4</v>
      </c>
      <c r="AH30" s="12" t="s">
        <v>912</v>
      </c>
      <c r="AI30" s="5" t="s">
        <v>912</v>
      </c>
      <c r="AJ30" s="3">
        <v>5.0000000000000001E-4</v>
      </c>
      <c r="AK30" s="12" t="s">
        <v>795</v>
      </c>
      <c r="AL30" s="5" t="s">
        <v>796</v>
      </c>
      <c r="AM30" s="14">
        <v>9.6199999999999994E-2</v>
      </c>
      <c r="AN30" s="12" t="s">
        <v>736</v>
      </c>
      <c r="AO30" s="77">
        <v>0.1244</v>
      </c>
      <c r="AP30" s="15" t="s">
        <v>751</v>
      </c>
      <c r="AQ30" s="9" t="s">
        <v>752</v>
      </c>
      <c r="AR30" s="14">
        <v>0.105</v>
      </c>
      <c r="AS30" s="12" t="s">
        <v>776</v>
      </c>
      <c r="AT30" s="5" t="s">
        <v>634</v>
      </c>
      <c r="AU30" s="14">
        <v>9.7799999999999998E-2</v>
      </c>
      <c r="AV30" s="26" t="s">
        <v>637</v>
      </c>
      <c r="AW30" s="4" t="s">
        <v>638</v>
      </c>
      <c r="AX30" s="22">
        <v>2.1899999999999999E-2</v>
      </c>
      <c r="AY30" s="5" t="s">
        <v>637</v>
      </c>
      <c r="AZ30" s="5" t="s">
        <v>638</v>
      </c>
      <c r="BA30" s="73">
        <v>3.0499999999999999E-2</v>
      </c>
      <c r="BB30" s="83" t="s">
        <v>705</v>
      </c>
      <c r="BC30" s="83" t="s">
        <v>688</v>
      </c>
      <c r="BD30" s="21">
        <v>5.1900000000000002E-2</v>
      </c>
      <c r="BE30" s="82" t="s">
        <v>777</v>
      </c>
      <c r="BF30" s="82" t="s">
        <v>913</v>
      </c>
      <c r="BG30" s="16">
        <v>7.3800000000000004E-2</v>
      </c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</row>
    <row r="31" spans="1:71" x14ac:dyDescent="0.2">
      <c r="A31" s="5" t="s">
        <v>877</v>
      </c>
      <c r="B31" s="5" t="s">
        <v>878</v>
      </c>
      <c r="C31" s="14">
        <v>2.4299999999999999E-2</v>
      </c>
      <c r="D31" s="26" t="s">
        <v>538</v>
      </c>
      <c r="E31" s="5" t="s">
        <v>539</v>
      </c>
      <c r="F31" s="3">
        <v>2.7099999999999999E-2</v>
      </c>
      <c r="G31" s="15" t="s">
        <v>914</v>
      </c>
      <c r="H31" s="9" t="s">
        <v>915</v>
      </c>
      <c r="I31" s="14">
        <v>4.1200000000000001E-2</v>
      </c>
      <c r="J31" s="12" t="s">
        <v>622</v>
      </c>
      <c r="K31" s="5" t="s">
        <v>623</v>
      </c>
      <c r="L31" s="3">
        <v>6.8199999999999997E-2</v>
      </c>
      <c r="M31" s="95" t="s">
        <v>644</v>
      </c>
      <c r="N31" s="75" t="s">
        <v>645</v>
      </c>
      <c r="O31" s="76">
        <v>9.3799999999999994E-2</v>
      </c>
      <c r="P31" s="26" t="s">
        <v>646</v>
      </c>
      <c r="Q31" s="4" t="s">
        <v>647</v>
      </c>
      <c r="R31" s="3">
        <v>7.5800000000000006E-2</v>
      </c>
      <c r="S31" s="12" t="s">
        <v>590</v>
      </c>
      <c r="T31" s="5" t="s">
        <v>591</v>
      </c>
      <c r="U31" s="3">
        <v>2.1499999999999998E-2</v>
      </c>
      <c r="V31" s="12" t="s">
        <v>648</v>
      </c>
      <c r="W31" s="5" t="s">
        <v>649</v>
      </c>
      <c r="X31" s="14">
        <v>2.1899999999999999E-2</v>
      </c>
      <c r="Y31" s="58" t="s">
        <v>916</v>
      </c>
      <c r="Z31" s="72" t="s">
        <v>917</v>
      </c>
      <c r="AA31" s="70">
        <f>SUM(AA2:AA3)</f>
        <v>5.0000000000000001E-3</v>
      </c>
      <c r="AB31" s="5" t="s">
        <v>731</v>
      </c>
      <c r="AC31" s="5" t="s">
        <v>732</v>
      </c>
      <c r="AD31" s="3">
        <v>8.3799999999999999E-2</v>
      </c>
      <c r="AE31" s="66" t="s">
        <v>918</v>
      </c>
      <c r="AF31" s="58" t="s">
        <v>919</v>
      </c>
      <c r="AG31" s="70">
        <f>SUM(AG2:AG8)</f>
        <v>3.9199999999999999E-2</v>
      </c>
      <c r="AH31" s="58" t="s">
        <v>916</v>
      </c>
      <c r="AI31" s="72" t="s">
        <v>917</v>
      </c>
      <c r="AJ31" s="70">
        <f>SUM(AJ2)</f>
        <v>5.5999999999999999E-3</v>
      </c>
      <c r="AK31" s="5" t="s">
        <v>800</v>
      </c>
      <c r="AL31" s="5" t="s">
        <v>801</v>
      </c>
      <c r="AM31" s="14">
        <v>9.6199999999999994E-2</v>
      </c>
      <c r="AN31" s="12" t="s">
        <v>752</v>
      </c>
      <c r="AO31" s="77">
        <v>0.1244</v>
      </c>
      <c r="AP31" s="15" t="s">
        <v>765</v>
      </c>
      <c r="AQ31" s="9" t="s">
        <v>766</v>
      </c>
      <c r="AR31" s="14">
        <v>0.105</v>
      </c>
      <c r="AS31" s="12" t="s">
        <v>689</v>
      </c>
      <c r="AT31" s="5" t="s">
        <v>673</v>
      </c>
      <c r="AU31" s="14">
        <v>9.7799999999999998E-2</v>
      </c>
      <c r="AV31" s="26" t="s">
        <v>617</v>
      </c>
      <c r="AW31" s="4" t="s">
        <v>618</v>
      </c>
      <c r="AX31" s="22">
        <v>2.1899999999999999E-2</v>
      </c>
      <c r="AY31" s="5" t="s">
        <v>617</v>
      </c>
      <c r="AZ31" s="5" t="s">
        <v>618</v>
      </c>
      <c r="BA31" s="73">
        <v>3.0499999999999999E-2</v>
      </c>
      <c r="BB31" s="83" t="s">
        <v>719</v>
      </c>
      <c r="BC31" s="83" t="s">
        <v>704</v>
      </c>
      <c r="BD31" s="21">
        <v>5.1900000000000002E-2</v>
      </c>
      <c r="BE31" s="82" t="s">
        <v>785</v>
      </c>
      <c r="BF31" s="82" t="s">
        <v>920</v>
      </c>
      <c r="BG31" s="16">
        <v>7.3800000000000004E-2</v>
      </c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</row>
    <row r="32" spans="1:71" x14ac:dyDescent="0.2">
      <c r="A32" s="11" t="s">
        <v>896</v>
      </c>
      <c r="B32" s="11" t="s">
        <v>871</v>
      </c>
      <c r="C32" s="14">
        <v>3.6799999999999999E-2</v>
      </c>
      <c r="D32" s="10" t="s">
        <v>921</v>
      </c>
      <c r="E32" s="9" t="s">
        <v>922</v>
      </c>
      <c r="F32" s="25">
        <v>3.7999999999999999E-2</v>
      </c>
      <c r="G32" s="12" t="s">
        <v>905</v>
      </c>
      <c r="H32" s="5" t="s">
        <v>906</v>
      </c>
      <c r="I32" s="14">
        <v>6.1800000000000001E-2</v>
      </c>
      <c r="J32" s="12" t="s">
        <v>642</v>
      </c>
      <c r="K32" s="5" t="s">
        <v>643</v>
      </c>
      <c r="L32" s="3">
        <v>6.8199999999999997E-2</v>
      </c>
      <c r="M32" s="20" t="s">
        <v>573</v>
      </c>
      <c r="N32" s="23" t="s">
        <v>574</v>
      </c>
      <c r="O32" s="3">
        <v>0.11070000000000001</v>
      </c>
      <c r="P32" s="95" t="s">
        <v>667</v>
      </c>
      <c r="Q32" s="75" t="s">
        <v>668</v>
      </c>
      <c r="R32" s="3">
        <v>7.5800000000000006E-2</v>
      </c>
      <c r="S32" s="15" t="s">
        <v>646</v>
      </c>
      <c r="T32" s="9" t="s">
        <v>647</v>
      </c>
      <c r="U32" s="25">
        <v>6.2799999999999995E-2</v>
      </c>
      <c r="V32" s="83" t="s">
        <v>644</v>
      </c>
      <c r="W32" s="82" t="s">
        <v>645</v>
      </c>
      <c r="X32" s="14">
        <v>6.3600000000000004E-2</v>
      </c>
      <c r="Y32" s="58" t="s">
        <v>918</v>
      </c>
      <c r="Z32" s="58" t="s">
        <v>919</v>
      </c>
      <c r="AA32" s="70">
        <f>SUM(AA4:AA8)</f>
        <v>1.2500000000000001E-2</v>
      </c>
      <c r="AB32" s="5" t="s">
        <v>747</v>
      </c>
      <c r="AC32" s="5" t="s">
        <v>748</v>
      </c>
      <c r="AD32" s="3">
        <v>8.3799999999999999E-2</v>
      </c>
      <c r="AE32" s="66" t="s">
        <v>923</v>
      </c>
      <c r="AF32" s="58" t="s">
        <v>924</v>
      </c>
      <c r="AG32" s="70">
        <f>SUM(AG9:AG15,AG16:AG22,AG23:AG29)</f>
        <v>0.96039999999999992</v>
      </c>
      <c r="AH32" s="58" t="s">
        <v>918</v>
      </c>
      <c r="AI32" s="58" t="s">
        <v>919</v>
      </c>
      <c r="AJ32" s="70">
        <f>SUM(AJ3:AJ8)</f>
        <v>3.3599999999999998E-2</v>
      </c>
      <c r="AK32" s="5" t="s">
        <v>802</v>
      </c>
      <c r="AL32" s="5" t="s">
        <v>803</v>
      </c>
      <c r="AM32" s="14">
        <v>9.6199999999999994E-2</v>
      </c>
      <c r="AN32" s="12" t="s">
        <v>766</v>
      </c>
      <c r="AO32" s="77">
        <v>0.1244</v>
      </c>
      <c r="AP32" s="12" t="s">
        <v>717</v>
      </c>
      <c r="AQ32" s="5" t="s">
        <v>718</v>
      </c>
      <c r="AR32" s="14">
        <v>0.105</v>
      </c>
      <c r="AS32" s="12" t="s">
        <v>705</v>
      </c>
      <c r="AT32" s="5" t="s">
        <v>688</v>
      </c>
      <c r="AU32" s="14">
        <v>9.7799999999999998E-2</v>
      </c>
      <c r="AV32" s="78" t="s">
        <v>737</v>
      </c>
      <c r="AW32" s="81" t="s">
        <v>738</v>
      </c>
      <c r="AX32" s="22">
        <v>6.3600000000000004E-2</v>
      </c>
      <c r="AY32" s="82" t="s">
        <v>776</v>
      </c>
      <c r="AZ32" s="82" t="s">
        <v>634</v>
      </c>
      <c r="BA32" s="73">
        <v>5.1900000000000002E-2</v>
      </c>
      <c r="BB32" s="12" t="s">
        <v>768</v>
      </c>
      <c r="BC32" s="12" t="s">
        <v>769</v>
      </c>
      <c r="BD32" s="21">
        <v>6.9099999999999995E-2</v>
      </c>
      <c r="BE32" s="5" t="s">
        <v>757</v>
      </c>
      <c r="BF32" s="5" t="s">
        <v>925</v>
      </c>
      <c r="BG32" s="16">
        <v>6.3299999999999995E-2</v>
      </c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</row>
    <row r="33" spans="1:71" x14ac:dyDescent="0.2">
      <c r="A33" s="11" t="s">
        <v>875</v>
      </c>
      <c r="B33" s="11" t="s">
        <v>926</v>
      </c>
      <c r="C33" s="14">
        <v>3.6799999999999999E-2</v>
      </c>
      <c r="D33" s="10" t="s">
        <v>927</v>
      </c>
      <c r="E33" s="9" t="s">
        <v>928</v>
      </c>
      <c r="F33" s="25">
        <v>3.7999999999999999E-2</v>
      </c>
      <c r="G33" s="12" t="s">
        <v>910</v>
      </c>
      <c r="H33" s="5" t="s">
        <v>911</v>
      </c>
      <c r="I33" s="14">
        <v>6.1800000000000001E-2</v>
      </c>
      <c r="J33" s="13" t="s">
        <v>573</v>
      </c>
      <c r="K33" s="11" t="s">
        <v>574</v>
      </c>
      <c r="L33" s="3">
        <v>9.6000000000000002E-2</v>
      </c>
      <c r="M33" s="79" t="s">
        <v>588</v>
      </c>
      <c r="N33" s="80" t="s">
        <v>589</v>
      </c>
      <c r="O33" s="76">
        <v>0.11070000000000001</v>
      </c>
      <c r="P33" s="26" t="s">
        <v>683</v>
      </c>
      <c r="Q33" s="4" t="s">
        <v>684</v>
      </c>
      <c r="R33" s="76">
        <v>7.5800000000000006E-2</v>
      </c>
      <c r="S33" s="15" t="s">
        <v>667</v>
      </c>
      <c r="T33" s="9" t="s">
        <v>668</v>
      </c>
      <c r="U33" s="76">
        <v>6.2799999999999995E-2</v>
      </c>
      <c r="V33" s="43" t="s">
        <v>603</v>
      </c>
      <c r="W33" s="44" t="s">
        <v>604</v>
      </c>
      <c r="X33" s="14">
        <v>6.3600000000000004E-2</v>
      </c>
      <c r="Y33" s="58" t="s">
        <v>929</v>
      </c>
      <c r="Z33" s="58" t="s">
        <v>930</v>
      </c>
      <c r="AA33" s="70">
        <f>SUM(AA9:AA10,AA16:AA17,AA23:AA24)</f>
        <v>0.27079999999999999</v>
      </c>
      <c r="AB33" s="5" t="s">
        <v>763</v>
      </c>
      <c r="AC33" s="5" t="s">
        <v>764</v>
      </c>
      <c r="AD33" s="3">
        <v>8.3799999999999999E-2</v>
      </c>
      <c r="AE33" s="66" t="s">
        <v>931</v>
      </c>
      <c r="AF33" s="58" t="s">
        <v>912</v>
      </c>
      <c r="AG33" s="70">
        <f>AG30</f>
        <v>5.0000000000000001E-4</v>
      </c>
      <c r="AH33" s="58" t="s">
        <v>929</v>
      </c>
      <c r="AI33" s="58" t="s">
        <v>930</v>
      </c>
      <c r="AJ33" s="70">
        <f>SUM(AJ9,AJ16,AJ23)</f>
        <v>0.13719999999999999</v>
      </c>
      <c r="AK33" s="5" t="s">
        <v>804</v>
      </c>
      <c r="AL33" s="5" t="s">
        <v>805</v>
      </c>
      <c r="AM33" s="14">
        <v>9.6199999999999994E-2</v>
      </c>
      <c r="AN33" s="12" t="s">
        <v>718</v>
      </c>
      <c r="AO33" s="77">
        <v>0.1244</v>
      </c>
      <c r="AP33" s="12" t="s">
        <v>776</v>
      </c>
      <c r="AQ33" s="5" t="s">
        <v>634</v>
      </c>
      <c r="AR33" s="14">
        <v>0.105</v>
      </c>
      <c r="AS33" s="12" t="s">
        <v>719</v>
      </c>
      <c r="AT33" s="5" t="s">
        <v>704</v>
      </c>
      <c r="AU33" s="14">
        <v>9.7799999999999998E-2</v>
      </c>
      <c r="AV33" s="78" t="s">
        <v>753</v>
      </c>
      <c r="AW33" s="81" t="s">
        <v>754</v>
      </c>
      <c r="AX33" s="22">
        <v>6.3600000000000004E-2</v>
      </c>
      <c r="AY33" s="71" t="s">
        <v>689</v>
      </c>
      <c r="AZ33" s="71" t="s">
        <v>673</v>
      </c>
      <c r="BA33" s="73">
        <v>5.1900000000000002E-2</v>
      </c>
      <c r="BB33" s="12" t="s">
        <v>777</v>
      </c>
      <c r="BC33" s="12" t="s">
        <v>778</v>
      </c>
      <c r="BD33" s="21">
        <v>6.9099999999999995E-2</v>
      </c>
      <c r="BE33" s="5" t="s">
        <v>770</v>
      </c>
      <c r="BF33" s="5" t="s">
        <v>932</v>
      </c>
      <c r="BG33" s="16">
        <v>6.3299999999999995E-2</v>
      </c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</row>
    <row r="34" spans="1:71" x14ac:dyDescent="0.2">
      <c r="A34" s="5" t="s">
        <v>883</v>
      </c>
      <c r="B34" s="5" t="s">
        <v>884</v>
      </c>
      <c r="C34" s="14">
        <v>3.6799999999999999E-2</v>
      </c>
      <c r="D34" s="10" t="s">
        <v>933</v>
      </c>
      <c r="E34" s="9" t="s">
        <v>934</v>
      </c>
      <c r="F34" s="25">
        <v>3.7999999999999999E-2</v>
      </c>
      <c r="G34" s="12" t="s">
        <v>622</v>
      </c>
      <c r="H34" s="5" t="s">
        <v>623</v>
      </c>
      <c r="I34" s="14">
        <v>0.1234</v>
      </c>
      <c r="J34" s="13" t="s">
        <v>588</v>
      </c>
      <c r="K34" s="11" t="s">
        <v>589</v>
      </c>
      <c r="L34" s="3">
        <v>9.6000000000000002E-2</v>
      </c>
      <c r="M34" s="66" t="s">
        <v>916</v>
      </c>
      <c r="N34" s="72" t="s">
        <v>917</v>
      </c>
      <c r="O34" s="70">
        <f>SUM(O2:O3)</f>
        <v>7.0000000000000001E-3</v>
      </c>
      <c r="P34" s="75" t="s">
        <v>644</v>
      </c>
      <c r="Q34" s="75" t="s">
        <v>645</v>
      </c>
      <c r="R34" s="3">
        <v>7.5800000000000006E-2</v>
      </c>
      <c r="S34" s="15" t="s">
        <v>683</v>
      </c>
      <c r="T34" s="9" t="s">
        <v>684</v>
      </c>
      <c r="U34" s="3">
        <v>6.2799999999999995E-2</v>
      </c>
      <c r="V34" s="43" t="s">
        <v>624</v>
      </c>
      <c r="W34" s="44" t="s">
        <v>625</v>
      </c>
      <c r="X34" s="14">
        <v>6.3600000000000004E-2</v>
      </c>
      <c r="Y34" s="58" t="s">
        <v>923</v>
      </c>
      <c r="Z34" s="58" t="s">
        <v>924</v>
      </c>
      <c r="AA34" s="70">
        <f>SUM(AA11:AA15,AA18:AA22,AA25:AA29)</f>
        <v>0.67699999999999994</v>
      </c>
      <c r="AB34" s="5" t="s">
        <v>912</v>
      </c>
      <c r="AC34" s="5" t="s">
        <v>912</v>
      </c>
      <c r="AD34" s="3">
        <v>3.5000000000000003E-2</v>
      </c>
      <c r="AE34" s="69"/>
      <c r="AF34" s="63" t="s">
        <v>744</v>
      </c>
      <c r="AG34" s="74">
        <f>SUM(AG31:AG33)</f>
        <v>1.0001</v>
      </c>
      <c r="AH34" s="58" t="s">
        <v>923</v>
      </c>
      <c r="AI34" s="58" t="s">
        <v>924</v>
      </c>
      <c r="AJ34" s="70">
        <f>SUM(AJ10:AJ15,AJ17:AJ22,AJ24:AJ29)</f>
        <v>0.82319999999999993</v>
      </c>
      <c r="AK34" s="5" t="s">
        <v>912</v>
      </c>
      <c r="AL34" s="5" t="s">
        <v>912</v>
      </c>
      <c r="AM34" s="14">
        <v>4.0000000000000002E-4</v>
      </c>
      <c r="AN34" s="12" t="s">
        <v>912</v>
      </c>
      <c r="AO34" s="77">
        <v>4.0000000000000002E-4</v>
      </c>
      <c r="AP34" s="12" t="s">
        <v>912</v>
      </c>
      <c r="AQ34" s="5" t="s">
        <v>935</v>
      </c>
      <c r="AR34" s="14">
        <v>4.0000000000000002E-4</v>
      </c>
      <c r="AS34" s="83" t="s">
        <v>912</v>
      </c>
      <c r="AT34" s="82" t="s">
        <v>935</v>
      </c>
      <c r="AU34" s="14">
        <v>5.0000000000000001E-4</v>
      </c>
      <c r="AV34" s="78" t="s">
        <v>767</v>
      </c>
      <c r="AW34" s="81" t="s">
        <v>936</v>
      </c>
      <c r="AX34" s="22">
        <v>6.3600000000000004E-2</v>
      </c>
      <c r="AY34" s="71" t="s">
        <v>705</v>
      </c>
      <c r="AZ34" s="71" t="s">
        <v>688</v>
      </c>
      <c r="BA34" s="73">
        <v>5.1900000000000002E-2</v>
      </c>
      <c r="BB34" s="12" t="s">
        <v>785</v>
      </c>
      <c r="BC34" s="12" t="s">
        <v>786</v>
      </c>
      <c r="BD34" s="21">
        <v>6.9099999999999995E-2</v>
      </c>
      <c r="BE34" s="5" t="s">
        <v>779</v>
      </c>
      <c r="BF34" s="5" t="s">
        <v>937</v>
      </c>
      <c r="BG34" s="16">
        <v>6.3299999999999995E-2</v>
      </c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</row>
    <row r="35" spans="1:71" x14ac:dyDescent="0.2">
      <c r="A35" s="9" t="s">
        <v>938</v>
      </c>
      <c r="B35" s="9" t="s">
        <v>939</v>
      </c>
      <c r="C35" s="14">
        <v>2.8500000000000001E-2</v>
      </c>
      <c r="D35" s="20" t="s">
        <v>940</v>
      </c>
      <c r="E35" s="11" t="s">
        <v>904</v>
      </c>
      <c r="F35" s="46">
        <v>5.7000000000000002E-2</v>
      </c>
      <c r="G35" s="12" t="s">
        <v>642</v>
      </c>
      <c r="H35" s="5" t="s">
        <v>643</v>
      </c>
      <c r="I35" s="14">
        <v>0.1234</v>
      </c>
      <c r="J35" s="12" t="s">
        <v>646</v>
      </c>
      <c r="K35" s="5" t="s">
        <v>647</v>
      </c>
      <c r="L35" s="3">
        <v>0.10349999999999999</v>
      </c>
      <c r="M35" s="66" t="s">
        <v>918</v>
      </c>
      <c r="N35" s="58" t="s">
        <v>919</v>
      </c>
      <c r="O35" s="70">
        <f>SUM(O4:O9)</f>
        <v>2.92E-2</v>
      </c>
      <c r="P35" s="4" t="s">
        <v>603</v>
      </c>
      <c r="Q35" s="4" t="s">
        <v>604</v>
      </c>
      <c r="R35" s="3">
        <v>9.9000000000000005E-2</v>
      </c>
      <c r="S35" s="12" t="s">
        <v>644</v>
      </c>
      <c r="T35" s="5" t="s">
        <v>645</v>
      </c>
      <c r="U35" s="3">
        <v>7.0499999999999993E-2</v>
      </c>
      <c r="V35" s="12" t="s">
        <v>700</v>
      </c>
      <c r="W35" s="5" t="s">
        <v>701</v>
      </c>
      <c r="X35" s="14">
        <v>7.1499999999999994E-2</v>
      </c>
      <c r="Y35" s="58" t="s">
        <v>912</v>
      </c>
      <c r="Z35" s="58" t="s">
        <v>935</v>
      </c>
      <c r="AA35" s="70">
        <f>AA30</f>
        <v>3.5000000000000003E-2</v>
      </c>
      <c r="AB35" s="58" t="s">
        <v>916</v>
      </c>
      <c r="AC35" s="72" t="s">
        <v>917</v>
      </c>
      <c r="AD35" s="70">
        <f>SUM(AD2)</f>
        <v>2.5000000000000001E-3</v>
      </c>
      <c r="AH35" s="58" t="s">
        <v>931</v>
      </c>
      <c r="AI35" s="58" t="s">
        <v>912</v>
      </c>
      <c r="AJ35" s="70">
        <f>AJ30</f>
        <v>5.0000000000000001E-4</v>
      </c>
      <c r="AK35" s="58" t="s">
        <v>916</v>
      </c>
      <c r="AL35" s="72" t="s">
        <v>917</v>
      </c>
      <c r="AM35" s="70">
        <f>SUM(AM2:AM5)</f>
        <v>1.55E-2</v>
      </c>
      <c r="AN35" s="72" t="s">
        <v>917</v>
      </c>
      <c r="AO35" s="70">
        <f>SUM(AO2)</f>
        <v>3.0999999999999999E-3</v>
      </c>
      <c r="AP35" s="58" t="s">
        <v>916</v>
      </c>
      <c r="AQ35" s="72" t="s">
        <v>917</v>
      </c>
      <c r="AR35" s="70">
        <f>SUM(AR2:AR4)</f>
        <v>1.0199999999999999E-2</v>
      </c>
      <c r="AS35" s="58" t="s">
        <v>916</v>
      </c>
      <c r="AT35" s="72" t="s">
        <v>917</v>
      </c>
      <c r="AU35" s="70">
        <f>SUM(AU2)</f>
        <v>3.2000000000000002E-3</v>
      </c>
      <c r="AV35" s="4" t="s">
        <v>776</v>
      </c>
      <c r="AW35" s="4" t="s">
        <v>634</v>
      </c>
      <c r="AX35" s="22">
        <v>7.1499999999999994E-2</v>
      </c>
      <c r="AY35" s="71" t="s">
        <v>719</v>
      </c>
      <c r="AZ35" s="71" t="s">
        <v>704</v>
      </c>
      <c r="BA35" s="73">
        <v>5.1900000000000002E-2</v>
      </c>
      <c r="BB35" s="12" t="s">
        <v>755</v>
      </c>
      <c r="BC35" s="12" t="s">
        <v>756</v>
      </c>
      <c r="BD35" s="21">
        <v>6.9099999999999995E-2</v>
      </c>
      <c r="BE35" s="5" t="s">
        <v>755</v>
      </c>
      <c r="BF35" s="5" t="s">
        <v>941</v>
      </c>
      <c r="BG35" s="16">
        <v>5.2699999999999997E-2</v>
      </c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</row>
    <row r="36" spans="1:71" x14ac:dyDescent="0.2">
      <c r="A36" s="9" t="s">
        <v>942</v>
      </c>
      <c r="B36" s="9" t="s">
        <v>943</v>
      </c>
      <c r="C36" s="14">
        <v>2.8500000000000001E-2</v>
      </c>
      <c r="D36" s="20" t="s">
        <v>908</v>
      </c>
      <c r="E36" s="11" t="s">
        <v>909</v>
      </c>
      <c r="F36" s="46">
        <v>5.7000000000000002E-2</v>
      </c>
      <c r="G36" s="12" t="s">
        <v>573</v>
      </c>
      <c r="H36" s="5" t="s">
        <v>574</v>
      </c>
      <c r="I36" s="14">
        <v>0.1234</v>
      </c>
      <c r="J36" s="12" t="s">
        <v>667</v>
      </c>
      <c r="K36" s="5" t="s">
        <v>668</v>
      </c>
      <c r="L36" s="3">
        <v>0.10349999999999999</v>
      </c>
      <c r="M36" s="66" t="s">
        <v>929</v>
      </c>
      <c r="N36" s="58" t="s">
        <v>930</v>
      </c>
      <c r="O36" s="70">
        <f>SUM(O10:O11,O26:O27,O18:O19)</f>
        <v>0.18820000000000001</v>
      </c>
      <c r="P36" s="75" t="s">
        <v>624</v>
      </c>
      <c r="Q36" s="75" t="s">
        <v>625</v>
      </c>
      <c r="R36" s="3">
        <v>9.9000000000000005E-2</v>
      </c>
      <c r="S36" s="12" t="s">
        <v>603</v>
      </c>
      <c r="T36" s="5" t="s">
        <v>604</v>
      </c>
      <c r="U36" s="3">
        <v>7.0499999999999993E-2</v>
      </c>
      <c r="V36" s="12" t="s">
        <v>713</v>
      </c>
      <c r="W36" s="5" t="s">
        <v>714</v>
      </c>
      <c r="X36" s="14">
        <v>7.1499999999999994E-2</v>
      </c>
      <c r="Y36" s="63"/>
      <c r="Z36" s="63" t="s">
        <v>744</v>
      </c>
      <c r="AA36" s="74">
        <f>SUM(AA31:AA35)</f>
        <v>1.0003</v>
      </c>
      <c r="AB36" s="58" t="s">
        <v>918</v>
      </c>
      <c r="AC36" s="58" t="s">
        <v>919</v>
      </c>
      <c r="AD36" s="70">
        <f>SUM(AD3:AD9)</f>
        <v>1.7500000000000002E-2</v>
      </c>
      <c r="AH36" s="63"/>
      <c r="AI36" s="63" t="s">
        <v>744</v>
      </c>
      <c r="AJ36" s="74">
        <f>SUM(AJ31:AJ35)</f>
        <v>1.0001</v>
      </c>
      <c r="AK36" s="58" t="s">
        <v>918</v>
      </c>
      <c r="AL36" s="58" t="s">
        <v>919</v>
      </c>
      <c r="AM36" s="70">
        <f>SUM(AM6:AM9)</f>
        <v>2.5999999999999999E-2</v>
      </c>
      <c r="AN36" s="58" t="s">
        <v>919</v>
      </c>
      <c r="AO36" s="70">
        <f>SUM(AO3:AO9)</f>
        <v>3.2300000000000002E-2</v>
      </c>
      <c r="AP36" s="58" t="s">
        <v>918</v>
      </c>
      <c r="AQ36" s="58" t="s">
        <v>919</v>
      </c>
      <c r="AR36" s="70">
        <f>SUM(AR5:AR9)</f>
        <v>2.4999999999999998E-2</v>
      </c>
      <c r="AS36" s="58" t="s">
        <v>918</v>
      </c>
      <c r="AT36" s="58" t="s">
        <v>919</v>
      </c>
      <c r="AU36" s="70">
        <f>SUM(AU3:AU9)</f>
        <v>3.4500000000000003E-2</v>
      </c>
      <c r="AV36" s="4" t="s">
        <v>689</v>
      </c>
      <c r="AW36" s="4" t="s">
        <v>673</v>
      </c>
      <c r="AX36" s="22">
        <v>7.1499999999999994E-2</v>
      </c>
      <c r="AY36" s="5" t="s">
        <v>768</v>
      </c>
      <c r="AZ36" s="5" t="s">
        <v>769</v>
      </c>
      <c r="BA36" s="73">
        <v>6.0999999999999999E-2</v>
      </c>
      <c r="BB36" s="12" t="s">
        <v>739</v>
      </c>
      <c r="BC36" s="12" t="s">
        <v>740</v>
      </c>
      <c r="BD36" s="21">
        <v>6.9099999999999995E-2</v>
      </c>
      <c r="BE36" s="5" t="s">
        <v>739</v>
      </c>
      <c r="BF36" s="5" t="s">
        <v>944</v>
      </c>
      <c r="BG36" s="16">
        <v>5.2699999999999997E-2</v>
      </c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</row>
    <row r="37" spans="1:71" x14ac:dyDescent="0.2">
      <c r="A37" s="9" t="s">
        <v>945</v>
      </c>
      <c r="B37" s="9" t="s">
        <v>946</v>
      </c>
      <c r="C37" s="14">
        <v>2.8500000000000001E-2</v>
      </c>
      <c r="D37" s="26" t="s">
        <v>914</v>
      </c>
      <c r="E37" s="5" t="s">
        <v>915</v>
      </c>
      <c r="F37" s="3">
        <v>5.7000000000000002E-2</v>
      </c>
      <c r="G37" s="12" t="s">
        <v>588</v>
      </c>
      <c r="H37" s="5" t="s">
        <v>589</v>
      </c>
      <c r="I37" s="14">
        <v>0.1234</v>
      </c>
      <c r="J37" s="12" t="s">
        <v>683</v>
      </c>
      <c r="K37" s="5" t="s">
        <v>684</v>
      </c>
      <c r="L37" s="3">
        <v>0.10349999999999999</v>
      </c>
      <c r="M37" s="66" t="s">
        <v>923</v>
      </c>
      <c r="N37" s="58" t="s">
        <v>924</v>
      </c>
      <c r="O37" s="70">
        <f>SUM(O12:O17,O20:O25,O28:O33)</f>
        <v>0.77580000000000005</v>
      </c>
      <c r="P37" s="4" t="s">
        <v>698</v>
      </c>
      <c r="Q37" s="4" t="s">
        <v>699</v>
      </c>
      <c r="R37" s="3">
        <v>9.9000000000000005E-2</v>
      </c>
      <c r="S37" s="12" t="s">
        <v>624</v>
      </c>
      <c r="T37" s="5" t="s">
        <v>625</v>
      </c>
      <c r="U37" s="3">
        <v>7.0499999999999993E-2</v>
      </c>
      <c r="V37" s="12" t="s">
        <v>727</v>
      </c>
      <c r="W37" s="5" t="s">
        <v>728</v>
      </c>
      <c r="X37" s="14">
        <v>7.1499999999999994E-2</v>
      </c>
      <c r="AB37" s="58" t="s">
        <v>929</v>
      </c>
      <c r="AC37" s="58" t="s">
        <v>930</v>
      </c>
      <c r="AD37" s="70">
        <f>SUM(AD10,AD18,AD26)</f>
        <v>0.1181</v>
      </c>
      <c r="AK37" s="58" t="s">
        <v>929</v>
      </c>
      <c r="AL37" s="58" t="s">
        <v>930</v>
      </c>
      <c r="AM37" s="70">
        <f>SUM(AM10:AM13,AM18:AM21,AM26:AM29)</f>
        <v>0.37280000000000002</v>
      </c>
      <c r="AN37" s="58" t="s">
        <v>930</v>
      </c>
      <c r="AO37" s="70">
        <f>SUM(AO10,AO18,AO26)</f>
        <v>5.8300000000000005E-2</v>
      </c>
      <c r="AP37" s="58" t="s">
        <v>929</v>
      </c>
      <c r="AQ37" s="58" t="s">
        <v>930</v>
      </c>
      <c r="AR37" s="70">
        <f>SUM(AR10:AR12,AR18:AR20,AR26:AR28)</f>
        <v>0.22049999999999997</v>
      </c>
      <c r="AS37" s="58" t="s">
        <v>929</v>
      </c>
      <c r="AT37" s="58" t="s">
        <v>930</v>
      </c>
      <c r="AU37" s="70">
        <f>SUM(AU10,AU18,AU26)</f>
        <v>9.2799999999999994E-2</v>
      </c>
      <c r="AV37" s="4" t="s">
        <v>705</v>
      </c>
      <c r="AW37" s="4" t="s">
        <v>688</v>
      </c>
      <c r="AX37" s="22">
        <v>7.1499999999999994E-2</v>
      </c>
      <c r="AY37" s="5" t="s">
        <v>777</v>
      </c>
      <c r="AZ37" s="5" t="s">
        <v>778</v>
      </c>
      <c r="BA37" s="73">
        <v>6.0999999999999999E-2</v>
      </c>
      <c r="BB37" s="88" t="s">
        <v>720</v>
      </c>
      <c r="BC37" s="88" t="s">
        <v>721</v>
      </c>
      <c r="BD37" s="21">
        <v>6.9099999999999995E-2</v>
      </c>
      <c r="BE37" s="90" t="s">
        <v>720</v>
      </c>
      <c r="BF37" s="90" t="s">
        <v>947</v>
      </c>
      <c r="BG37" s="89">
        <v>5.2699999999999997E-2</v>
      </c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</row>
    <row r="38" spans="1:71" x14ac:dyDescent="0.2">
      <c r="A38" s="5" t="s">
        <v>921</v>
      </c>
      <c r="B38" s="5" t="s">
        <v>922</v>
      </c>
      <c r="C38" s="14">
        <v>4.87E-2</v>
      </c>
      <c r="D38" s="26" t="s">
        <v>905</v>
      </c>
      <c r="E38" s="5" t="s">
        <v>906</v>
      </c>
      <c r="F38" s="3">
        <v>0.1138</v>
      </c>
      <c r="G38" s="66" t="s">
        <v>916</v>
      </c>
      <c r="H38" s="72" t="s">
        <v>917</v>
      </c>
      <c r="I38" s="70">
        <f>SUM(I2:I4)</f>
        <v>4.5000000000000005E-3</v>
      </c>
      <c r="J38" s="66" t="s">
        <v>916</v>
      </c>
      <c r="K38" s="72" t="s">
        <v>917</v>
      </c>
      <c r="L38" s="70">
        <f>SUM(L2:L3)</f>
        <v>5.0000000000000001E-3</v>
      </c>
      <c r="M38" s="63"/>
      <c r="N38" s="63" t="s">
        <v>744</v>
      </c>
      <c r="O38" s="74">
        <f>SUM(O34:O37)</f>
        <v>1.0002</v>
      </c>
      <c r="P38" s="58" t="s">
        <v>916</v>
      </c>
      <c r="Q38" s="72" t="s">
        <v>917</v>
      </c>
      <c r="R38" s="70">
        <f>SUM(R2:R3)</f>
        <v>7.1999999999999998E-3</v>
      </c>
      <c r="S38" s="5" t="s">
        <v>700</v>
      </c>
      <c r="T38" s="5" t="s">
        <v>701</v>
      </c>
      <c r="U38" s="3">
        <v>8.5000000000000006E-2</v>
      </c>
      <c r="V38" s="12" t="s">
        <v>698</v>
      </c>
      <c r="W38" s="5" t="s">
        <v>699</v>
      </c>
      <c r="X38" s="14">
        <v>7.1499999999999994E-2</v>
      </c>
      <c r="AB38" s="58" t="s">
        <v>923</v>
      </c>
      <c r="AC38" s="58" t="s">
        <v>924</v>
      </c>
      <c r="AD38" s="70">
        <f>SUM(AD11:AD17,AD19:AD25,AD27:AD33)</f>
        <v>0.82669999999999999</v>
      </c>
      <c r="AK38" s="58" t="s">
        <v>923</v>
      </c>
      <c r="AL38" s="58" t="s">
        <v>924</v>
      </c>
      <c r="AM38" s="70">
        <f>SUM(AM14:AM17,AM22:AM25,AM30:AM33)</f>
        <v>0.58519999999999994</v>
      </c>
      <c r="AN38" s="58" t="s">
        <v>924</v>
      </c>
      <c r="AO38" s="70">
        <f>SUM(AO11:AO17,AO19:AO25,AO27:AO33)</f>
        <v>0.90589999999999993</v>
      </c>
      <c r="AP38" s="58" t="s">
        <v>923</v>
      </c>
      <c r="AQ38" s="58" t="s">
        <v>924</v>
      </c>
      <c r="AR38" s="70">
        <f>SUM(AR13:AR17,AR21:AR25,AR29:AR33)</f>
        <v>0.74439999999999995</v>
      </c>
      <c r="AS38" s="58" t="s">
        <v>923</v>
      </c>
      <c r="AT38" s="58" t="s">
        <v>924</v>
      </c>
      <c r="AU38" s="70">
        <f>SUM(AU11:AU17,AU19:AU25,AU27:AU33)</f>
        <v>0.86939999999999995</v>
      </c>
      <c r="AV38" s="4" t="s">
        <v>719</v>
      </c>
      <c r="AW38" s="4" t="s">
        <v>704</v>
      </c>
      <c r="AX38" s="22">
        <v>7.1499999999999994E-2</v>
      </c>
      <c r="AY38" s="5" t="s">
        <v>785</v>
      </c>
      <c r="AZ38" s="5" t="s">
        <v>786</v>
      </c>
      <c r="BA38" s="73">
        <v>6.0999999999999999E-2</v>
      </c>
      <c r="BB38" s="2" t="s">
        <v>916</v>
      </c>
      <c r="BC38" s="2" t="s">
        <v>917</v>
      </c>
      <c r="BD38" s="84">
        <v>1.1599999999999999E-2</v>
      </c>
      <c r="BE38" s="2" t="s">
        <v>711</v>
      </c>
      <c r="BF38" s="2" t="s">
        <v>917</v>
      </c>
      <c r="BG38" s="85">
        <v>1.0800000000000001E-2</v>
      </c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</row>
    <row r="39" spans="1:71" x14ac:dyDescent="0.2">
      <c r="A39" s="5" t="s">
        <v>927</v>
      </c>
      <c r="B39" s="5" t="s">
        <v>928</v>
      </c>
      <c r="C39" s="14">
        <v>4.87E-2</v>
      </c>
      <c r="D39" s="26" t="s">
        <v>910</v>
      </c>
      <c r="E39" s="5" t="s">
        <v>911</v>
      </c>
      <c r="F39" s="3">
        <v>0.1138</v>
      </c>
      <c r="G39" s="66" t="s">
        <v>918</v>
      </c>
      <c r="H39" s="58" t="s">
        <v>919</v>
      </c>
      <c r="I39" s="70">
        <f>SUM(I5:I10)</f>
        <v>0.03</v>
      </c>
      <c r="J39" s="66" t="s">
        <v>918</v>
      </c>
      <c r="K39" s="58" t="s">
        <v>919</v>
      </c>
      <c r="L39" s="70">
        <f>SUM(L4:L10)</f>
        <v>3.1400000000000004E-2</v>
      </c>
      <c r="P39" s="58" t="s">
        <v>918</v>
      </c>
      <c r="Q39" s="58" t="s">
        <v>919</v>
      </c>
      <c r="R39" s="70">
        <f>SUM(R4:R10)</f>
        <v>3.3000000000000002E-2</v>
      </c>
      <c r="S39" s="5" t="s">
        <v>713</v>
      </c>
      <c r="T39" s="5" t="s">
        <v>714</v>
      </c>
      <c r="U39" s="3">
        <v>8.5000000000000006E-2</v>
      </c>
      <c r="V39" s="12" t="s">
        <v>729</v>
      </c>
      <c r="W39" s="5" t="s">
        <v>730</v>
      </c>
      <c r="X39" s="14">
        <v>8.7400000000000005E-2</v>
      </c>
      <c r="AB39" s="58" t="s">
        <v>912</v>
      </c>
      <c r="AC39" s="58" t="s">
        <v>935</v>
      </c>
      <c r="AD39" s="70">
        <f>AD34</f>
        <v>3.5000000000000003E-2</v>
      </c>
      <c r="AK39" s="58" t="s">
        <v>931</v>
      </c>
      <c r="AL39" s="58" t="s">
        <v>912</v>
      </c>
      <c r="AM39" s="70">
        <f>AM34</f>
        <v>4.0000000000000002E-4</v>
      </c>
      <c r="AN39" s="58" t="s">
        <v>912</v>
      </c>
      <c r="AO39" s="70">
        <f>AO34</f>
        <v>4.0000000000000002E-4</v>
      </c>
      <c r="AP39" s="58" t="s">
        <v>931</v>
      </c>
      <c r="AQ39" s="58" t="s">
        <v>912</v>
      </c>
      <c r="AR39" s="70">
        <f>AR34</f>
        <v>4.0000000000000002E-4</v>
      </c>
      <c r="AS39" s="58" t="s">
        <v>931</v>
      </c>
      <c r="AT39" s="58" t="s">
        <v>912</v>
      </c>
      <c r="AU39" s="70">
        <f>AU34</f>
        <v>5.0000000000000001E-4</v>
      </c>
      <c r="AV39" s="4" t="s">
        <v>755</v>
      </c>
      <c r="AW39" s="4" t="s">
        <v>756</v>
      </c>
      <c r="AX39" s="22">
        <v>8.7400000000000005E-2</v>
      </c>
      <c r="AY39" s="5" t="s">
        <v>755</v>
      </c>
      <c r="AZ39" s="5" t="s">
        <v>756</v>
      </c>
      <c r="BA39" s="73">
        <v>6.0999999999999999E-2</v>
      </c>
      <c r="BB39" s="2" t="s">
        <v>918</v>
      </c>
      <c r="BC39" s="2" t="s">
        <v>919</v>
      </c>
      <c r="BD39" s="84">
        <v>3.1600000000000003E-2</v>
      </c>
      <c r="BE39" s="2" t="s">
        <v>725</v>
      </c>
      <c r="BF39" s="2" t="s">
        <v>919</v>
      </c>
      <c r="BG39" s="85">
        <v>1.6500000000000001E-2</v>
      </c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</row>
    <row r="40" spans="1:71" x14ac:dyDescent="0.2">
      <c r="A40" s="5" t="s">
        <v>933</v>
      </c>
      <c r="B40" s="5" t="s">
        <v>934</v>
      </c>
      <c r="C40" s="14">
        <v>4.87E-2</v>
      </c>
      <c r="D40" s="26" t="s">
        <v>622</v>
      </c>
      <c r="E40" s="5" t="s">
        <v>623</v>
      </c>
      <c r="F40" s="3">
        <v>0.1138</v>
      </c>
      <c r="G40" s="66" t="s">
        <v>929</v>
      </c>
      <c r="H40" s="58" t="s">
        <v>930</v>
      </c>
      <c r="I40" s="70">
        <f>SUM(I11:I13,I20:I22,I29:I31)</f>
        <v>0.15720000000000001</v>
      </c>
      <c r="J40" s="66" t="s">
        <v>929</v>
      </c>
      <c r="K40" s="58" t="s">
        <v>930</v>
      </c>
      <c r="L40" s="70">
        <f>SUM(L11:L12,L20:L21,L29:L30)</f>
        <v>0.12880000000000003</v>
      </c>
      <c r="P40" s="58" t="s">
        <v>929</v>
      </c>
      <c r="Q40" s="58" t="s">
        <v>930</v>
      </c>
      <c r="R40" s="70">
        <f>SUM(R11:R12,R20:R21,R29:R30)</f>
        <v>0.16419999999999998</v>
      </c>
      <c r="S40" s="5" t="s">
        <v>727</v>
      </c>
      <c r="T40" s="5" t="s">
        <v>728</v>
      </c>
      <c r="U40" s="3">
        <v>8.5000000000000006E-2</v>
      </c>
      <c r="V40" s="12" t="s">
        <v>745</v>
      </c>
      <c r="W40" s="5" t="s">
        <v>746</v>
      </c>
      <c r="X40" s="14">
        <v>8.7400000000000005E-2</v>
      </c>
      <c r="AB40" s="63"/>
      <c r="AC40" s="63" t="s">
        <v>744</v>
      </c>
      <c r="AD40" s="74">
        <f>SUM(AD35:AD39)</f>
        <v>0.99980000000000002</v>
      </c>
      <c r="AK40" s="63"/>
      <c r="AL40" s="63" t="s">
        <v>744</v>
      </c>
      <c r="AM40" s="74">
        <f>SUM(AM35:AM39)</f>
        <v>0.9998999999999999</v>
      </c>
      <c r="AN40" s="63" t="s">
        <v>744</v>
      </c>
      <c r="AO40" s="74">
        <f>SUM(AO35:AO39)</f>
        <v>0.99999999999999989</v>
      </c>
      <c r="AP40" s="63"/>
      <c r="AQ40" s="63" t="s">
        <v>744</v>
      </c>
      <c r="AR40" s="74">
        <f>SUM(AR35:AR39)</f>
        <v>1.0004999999999999</v>
      </c>
      <c r="AS40" s="63"/>
      <c r="AT40" s="63" t="s">
        <v>744</v>
      </c>
      <c r="AU40" s="74">
        <f>SUM(AU35:AU39)</f>
        <v>1.0004</v>
      </c>
      <c r="AV40" s="87" t="s">
        <v>739</v>
      </c>
      <c r="AW40" s="87" t="s">
        <v>740</v>
      </c>
      <c r="AX40" s="22">
        <v>8.7400000000000005E-2</v>
      </c>
      <c r="AY40" s="5" t="s">
        <v>739</v>
      </c>
      <c r="AZ40" s="5" t="s">
        <v>740</v>
      </c>
      <c r="BA40" s="86">
        <v>6.0999999999999999E-2</v>
      </c>
      <c r="BB40" s="2" t="s">
        <v>929</v>
      </c>
      <c r="BC40" s="2" t="s">
        <v>948</v>
      </c>
      <c r="BD40" s="84">
        <v>0.25669999999999998</v>
      </c>
      <c r="BE40" s="2"/>
      <c r="BF40" s="2" t="s">
        <v>948</v>
      </c>
      <c r="BG40" s="85">
        <v>0.38279999999999997</v>
      </c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</row>
    <row r="41" spans="1:71" x14ac:dyDescent="0.2">
      <c r="A41" s="5" t="s">
        <v>905</v>
      </c>
      <c r="B41" s="5" t="s">
        <v>906</v>
      </c>
      <c r="C41" s="14">
        <v>4.87E-2</v>
      </c>
      <c r="D41" s="26" t="s">
        <v>642</v>
      </c>
      <c r="E41" s="5" t="s">
        <v>643</v>
      </c>
      <c r="F41" s="3">
        <v>0.1138</v>
      </c>
      <c r="G41" s="66" t="s">
        <v>923</v>
      </c>
      <c r="H41" s="58" t="s">
        <v>924</v>
      </c>
      <c r="I41" s="70">
        <f>SUM(I14:I19,I23:I28,I32:I37)</f>
        <v>0.80779999999999996</v>
      </c>
      <c r="J41" s="66" t="s">
        <v>923</v>
      </c>
      <c r="K41" s="58" t="s">
        <v>924</v>
      </c>
      <c r="L41" s="70">
        <f>SUM(L13:L19,L22:L28,L31:L37)</f>
        <v>0.8348000000000001</v>
      </c>
      <c r="P41" s="58" t="s">
        <v>923</v>
      </c>
      <c r="Q41" s="58" t="s">
        <v>924</v>
      </c>
      <c r="R41" s="70">
        <f>SUM(R13:R19,R22:R28,R31:R37)</f>
        <v>0.79569999999999996</v>
      </c>
      <c r="S41" s="5" t="s">
        <v>698</v>
      </c>
      <c r="T41" s="5" t="s">
        <v>699</v>
      </c>
      <c r="U41" s="3">
        <v>8.5000000000000006E-2</v>
      </c>
      <c r="V41" s="12" t="s">
        <v>761</v>
      </c>
      <c r="W41" s="5" t="s">
        <v>762</v>
      </c>
      <c r="X41" s="14">
        <v>8.7400000000000005E-2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5" t="s">
        <v>720</v>
      </c>
      <c r="AW41" s="5" t="s">
        <v>721</v>
      </c>
      <c r="AX41" s="92">
        <v>8.7400000000000005E-2</v>
      </c>
      <c r="AY41" s="4" t="s">
        <v>720</v>
      </c>
      <c r="AZ41" s="4" t="s">
        <v>721</v>
      </c>
      <c r="BA41" s="16">
        <v>6.0999999999999999E-2</v>
      </c>
      <c r="BB41" s="2" t="s">
        <v>923</v>
      </c>
      <c r="BC41" s="2" t="s">
        <v>949</v>
      </c>
      <c r="BD41" s="84">
        <v>0.70009999999999994</v>
      </c>
      <c r="BE41" s="2"/>
      <c r="BF41" s="2" t="s">
        <v>949</v>
      </c>
      <c r="BG41" s="85">
        <v>0.58950000000000002</v>
      </c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</row>
    <row r="42" spans="1:71" x14ac:dyDescent="0.2">
      <c r="A42" s="5" t="s">
        <v>910</v>
      </c>
      <c r="B42" s="5" t="s">
        <v>911</v>
      </c>
      <c r="C42" s="14">
        <v>4.87E-2</v>
      </c>
      <c r="D42" s="66" t="s">
        <v>916</v>
      </c>
      <c r="E42" s="72" t="s">
        <v>917</v>
      </c>
      <c r="F42" s="70">
        <f>SUM(F2:F4)</f>
        <v>4.5000000000000005E-3</v>
      </c>
      <c r="G42" s="63"/>
      <c r="H42" s="63" t="s">
        <v>744</v>
      </c>
      <c r="I42" s="74">
        <f>SUM(I38:I41)</f>
        <v>0.99949999999999994</v>
      </c>
      <c r="J42" s="63"/>
      <c r="K42" s="63" t="s">
        <v>744</v>
      </c>
      <c r="L42" s="74">
        <f>SUM(L38:L41)</f>
        <v>1</v>
      </c>
      <c r="P42" s="63"/>
      <c r="Q42" s="63" t="s">
        <v>744</v>
      </c>
      <c r="R42" s="74">
        <f>SUM(R38:R41)</f>
        <v>1.0001</v>
      </c>
      <c r="S42" s="58" t="s">
        <v>916</v>
      </c>
      <c r="T42" s="72" t="s">
        <v>917</v>
      </c>
      <c r="U42" s="70">
        <f>SUM(U2:U4)</f>
        <v>9.6000000000000009E-3</v>
      </c>
      <c r="V42" s="58" t="s">
        <v>916</v>
      </c>
      <c r="W42" s="72" t="s">
        <v>917</v>
      </c>
      <c r="X42" s="70">
        <f>SUM(X2:X4)</f>
        <v>9.8999999999999991E-3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58" t="s">
        <v>916</v>
      </c>
      <c r="AW42" s="72" t="s">
        <v>917</v>
      </c>
      <c r="AX42" s="70">
        <f>SUM(AX2:AX4)</f>
        <v>9.8999999999999991E-3</v>
      </c>
      <c r="AY42" s="58" t="s">
        <v>916</v>
      </c>
      <c r="AZ42" s="58" t="s">
        <v>917</v>
      </c>
      <c r="BA42" s="91">
        <v>1.3100000000000001E-2</v>
      </c>
      <c r="BB42" s="68"/>
      <c r="BC42" s="68" t="s">
        <v>744</v>
      </c>
      <c r="BD42" s="74">
        <f>SUM(BD38:BD41)</f>
        <v>1</v>
      </c>
      <c r="BE42" s="68"/>
      <c r="BF42" s="68" t="s">
        <v>744</v>
      </c>
      <c r="BG42" s="74">
        <f>SUM(BG38:BG41)</f>
        <v>0.99960000000000004</v>
      </c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</row>
    <row r="43" spans="1:71" x14ac:dyDescent="0.2">
      <c r="A43" s="11" t="s">
        <v>940</v>
      </c>
      <c r="B43" s="11" t="s">
        <v>904</v>
      </c>
      <c r="C43" s="14">
        <v>7.3400000000000007E-2</v>
      </c>
      <c r="D43" s="66" t="s">
        <v>918</v>
      </c>
      <c r="E43" s="58" t="s">
        <v>919</v>
      </c>
      <c r="F43" s="70">
        <f>SUM(F5:F11)</f>
        <v>3.1E-2</v>
      </c>
      <c r="S43" s="58" t="s">
        <v>918</v>
      </c>
      <c r="T43" s="58" t="s">
        <v>919</v>
      </c>
      <c r="U43" s="70">
        <f>SUM(U5:U11)</f>
        <v>3.0000000000000002E-2</v>
      </c>
      <c r="V43" s="58" t="s">
        <v>918</v>
      </c>
      <c r="W43" s="58" t="s">
        <v>919</v>
      </c>
      <c r="X43" s="70">
        <f>SUM(X5:X11)</f>
        <v>2.9900000000000003E-2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58" t="s">
        <v>918</v>
      </c>
      <c r="AW43" s="58" t="s">
        <v>919</v>
      </c>
      <c r="AX43" s="70">
        <f>SUM(AX5:AX11)</f>
        <v>2.9900000000000003E-2</v>
      </c>
      <c r="AY43" s="58" t="s">
        <v>918</v>
      </c>
      <c r="AZ43" s="58" t="s">
        <v>919</v>
      </c>
      <c r="BA43" s="91">
        <v>2.86E-2</v>
      </c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</row>
    <row r="44" spans="1:71" x14ac:dyDescent="0.2">
      <c r="A44" s="11" t="s">
        <v>908</v>
      </c>
      <c r="B44" s="11" t="s">
        <v>950</v>
      </c>
      <c r="C44" s="14">
        <v>7.3400000000000007E-2</v>
      </c>
      <c r="D44" s="66" t="s">
        <v>929</v>
      </c>
      <c r="E44" s="58" t="s">
        <v>930</v>
      </c>
      <c r="F44" s="70">
        <f>SUM(F12:F14,F22:F24,F32:F34)</f>
        <v>0.1449</v>
      </c>
      <c r="S44" s="58" t="s">
        <v>929</v>
      </c>
      <c r="T44" s="58" t="s">
        <v>930</v>
      </c>
      <c r="U44" s="70">
        <f>SUM(U12:U14,U22:U24,U32:U34)</f>
        <v>0.23489999999999997</v>
      </c>
      <c r="V44" s="58" t="s">
        <v>929</v>
      </c>
      <c r="W44" s="58" t="s">
        <v>930</v>
      </c>
      <c r="X44" s="70">
        <f>SUM(X12:X14,X22:X24,X32:X34)</f>
        <v>0.23849999999999999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58" t="s">
        <v>929</v>
      </c>
      <c r="AW44" s="58" t="s">
        <v>930</v>
      </c>
      <c r="AX44" s="70">
        <f>SUM(AX12:AX14,AX22:AX24,AX32:AX34)</f>
        <v>0.23849999999999999</v>
      </c>
      <c r="AY44" s="58" t="s">
        <v>929</v>
      </c>
      <c r="AZ44" s="58" t="s">
        <v>930</v>
      </c>
      <c r="BA44" s="91">
        <v>0.31740000000000002</v>
      </c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</row>
    <row r="45" spans="1:71" x14ac:dyDescent="0.2">
      <c r="A45" s="5" t="s">
        <v>914</v>
      </c>
      <c r="B45" s="5" t="s">
        <v>915</v>
      </c>
      <c r="C45" s="14">
        <v>7.3400000000000007E-2</v>
      </c>
      <c r="D45" s="66" t="s">
        <v>923</v>
      </c>
      <c r="E45" s="58" t="s">
        <v>924</v>
      </c>
      <c r="F45" s="70">
        <f>SUM(F15:F21,F25:F31,F35:F41)</f>
        <v>0.81979999999999997</v>
      </c>
      <c r="S45" s="58" t="s">
        <v>923</v>
      </c>
      <c r="T45" s="58" t="s">
        <v>924</v>
      </c>
      <c r="U45" s="70">
        <f>SUM(U15:U21,U25:U31,U35:U41)</f>
        <v>0.72549999999999992</v>
      </c>
      <c r="V45" s="58" t="s">
        <v>923</v>
      </c>
      <c r="W45" s="58" t="s">
        <v>924</v>
      </c>
      <c r="X45" s="70">
        <f>SUM(X15:X21,X25:X31,X35:X41)</f>
        <v>0.7219000000000001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58" t="s">
        <v>923</v>
      </c>
      <c r="AW45" s="58" t="s">
        <v>924</v>
      </c>
      <c r="AX45" s="70">
        <f>SUM(AX15:AX21,AX25:AX31,AX35:AX41)</f>
        <v>0.7219000000000001</v>
      </c>
      <c r="AY45" s="58" t="s">
        <v>923</v>
      </c>
      <c r="AZ45" s="58" t="s">
        <v>924</v>
      </c>
      <c r="BA45" s="91">
        <v>0.64090000000000003</v>
      </c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</row>
    <row r="46" spans="1:71" x14ac:dyDescent="0.2">
      <c r="A46" s="66" t="s">
        <v>916</v>
      </c>
      <c r="B46" s="72" t="s">
        <v>917</v>
      </c>
      <c r="C46" s="70">
        <f>SUM(C2:C4)</f>
        <v>9.0000000000000011E-3</v>
      </c>
      <c r="D46" s="63"/>
      <c r="E46" s="63" t="s">
        <v>744</v>
      </c>
      <c r="F46" s="74">
        <f>SUM(F42:F45)</f>
        <v>1.0002</v>
      </c>
      <c r="S46" s="63"/>
      <c r="T46" s="63" t="s">
        <v>744</v>
      </c>
      <c r="U46" s="74">
        <f>SUM(U42:U45)</f>
        <v>0.99999999999999989</v>
      </c>
      <c r="V46" s="63"/>
      <c r="W46" s="63" t="s">
        <v>744</v>
      </c>
      <c r="X46" s="74">
        <f>SUM(X42:X45)</f>
        <v>1.0002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</row>
    <row r="47" spans="1:71" x14ac:dyDescent="0.2">
      <c r="A47" s="66" t="s">
        <v>918</v>
      </c>
      <c r="B47" s="58" t="s">
        <v>919</v>
      </c>
      <c r="C47" s="70">
        <f>SUM(C5:C12)</f>
        <v>3.0499999999999999E-2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</row>
    <row r="48" spans="1:71" x14ac:dyDescent="0.2">
      <c r="A48" s="66" t="s">
        <v>929</v>
      </c>
      <c r="B48" s="58" t="s">
        <v>930</v>
      </c>
      <c r="C48" s="70">
        <f>SUM(C13:C15,C24:C26,C35:C37)</f>
        <v>0.15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</row>
    <row r="49" spans="1:71" x14ac:dyDescent="0.2">
      <c r="A49" s="66" t="s">
        <v>923</v>
      </c>
      <c r="B49" s="58" t="s">
        <v>924</v>
      </c>
      <c r="C49" s="70">
        <f>SUM(C16:C23,C27:C34,C38:C45)</f>
        <v>0.81080000000000008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</row>
    <row r="50" spans="1:71" x14ac:dyDescent="0.2">
      <c r="A50" s="63"/>
      <c r="B50" s="63" t="s">
        <v>744</v>
      </c>
      <c r="C50" s="74">
        <f>SUM(C46:C49)</f>
        <v>1.0003000000000002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</row>
    <row r="51" spans="1:7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</row>
    <row r="52" spans="1:7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</row>
    <row r="53" spans="1:7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</row>
    <row r="54" spans="1:7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</row>
    <row r="55" spans="1:7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</row>
    <row r="56" spans="1:7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</row>
    <row r="57" spans="1:7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</row>
    <row r="58" spans="1:7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</row>
    <row r="59" spans="1:7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</row>
    <row r="60" spans="1:7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</row>
    <row r="61" spans="1:7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</row>
    <row r="62" spans="1:7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</row>
    <row r="63" spans="1:7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</row>
    <row r="64" spans="1:7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</row>
    <row r="65" spans="1:7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</row>
    <row r="66" spans="1:7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</row>
    <row r="67" spans="1:7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</row>
    <row r="68" spans="1:7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</row>
    <row r="69" spans="1:7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</row>
    <row r="70" spans="1:7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</row>
    <row r="71" spans="1:7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</row>
    <row r="72" spans="1:7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</row>
    <row r="73" spans="1:7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</row>
    <row r="74" spans="1:7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</row>
    <row r="75" spans="1:7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</row>
    <row r="76" spans="1:7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</row>
    <row r="77" spans="1:7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</row>
    <row r="78" spans="1:7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</row>
    <row r="79" spans="1:7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</row>
    <row r="80" spans="1:7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</row>
    <row r="81" spans="1:7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</row>
    <row r="82" spans="1:7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</row>
    <row r="83" spans="1:7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</row>
    <row r="84" spans="1:7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</row>
    <row r="85" spans="1:7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</row>
    <row r="86" spans="1:7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</row>
    <row r="87" spans="1:7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</row>
    <row r="88" spans="1:7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</row>
    <row r="89" spans="1:7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</row>
    <row r="90" spans="1:7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</row>
    <row r="91" spans="1:7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</row>
    <row r="92" spans="1:7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</row>
    <row r="93" spans="1:7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</row>
    <row r="94" spans="1:7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</row>
    <row r="95" spans="1:7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</row>
    <row r="96" spans="1:7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</row>
    <row r="97" spans="1:7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</row>
    <row r="98" spans="1:7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</row>
    <row r="99" spans="1:7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</row>
    <row r="100" spans="1:7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</row>
    <row r="101" spans="1:7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</row>
    <row r="102" spans="1:7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</row>
    <row r="103" spans="1:7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</row>
    <row r="104" spans="1:7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</row>
    <row r="105" spans="1:7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</row>
    <row r="106" spans="1:7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</row>
    <row r="107" spans="1:7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</row>
    <row r="108" spans="1:7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</row>
    <row r="109" spans="1:7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</row>
    <row r="110" spans="1:7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</row>
    <row r="111" spans="1:7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</row>
    <row r="112" spans="1:7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</row>
    <row r="113" spans="1:7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</row>
    <row r="114" spans="1:7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</row>
    <row r="115" spans="1:7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</row>
    <row r="116" spans="1:7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</row>
    <row r="117" spans="1:7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</row>
    <row r="118" spans="1:7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</row>
    <row r="119" spans="1:7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</row>
    <row r="120" spans="1:7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</row>
    <row r="121" spans="1:7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</row>
    <row r="122" spans="1:7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</row>
    <row r="123" spans="1:7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</row>
    <row r="124" spans="1:7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</row>
    <row r="125" spans="1:7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</row>
    <row r="126" spans="1:7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</row>
    <row r="127" spans="1:7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</row>
    <row r="128" spans="1:7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</row>
    <row r="129" spans="1:7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</row>
    <row r="130" spans="1:7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</row>
    <row r="131" spans="1:7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</row>
    <row r="132" spans="1:7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</row>
    <row r="133" spans="1:7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</row>
    <row r="134" spans="1:7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</row>
    <row r="135" spans="1:7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</row>
    <row r="136" spans="1:7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</row>
    <row r="137" spans="1:7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</row>
    <row r="138" spans="1:7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</row>
    <row r="139" spans="1:7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</row>
    <row r="140" spans="1:7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</row>
    <row r="141" spans="1:7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</row>
    <row r="142" spans="1:7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</row>
    <row r="143" spans="1:7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</row>
    <row r="144" spans="1:7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</row>
    <row r="145" spans="1:7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</row>
    <row r="146" spans="1:7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</row>
    <row r="147" spans="1:7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</row>
    <row r="148" spans="1:7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</row>
    <row r="149" spans="1:7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</row>
    <row r="150" spans="1:7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</row>
    <row r="151" spans="1:7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</row>
    <row r="152" spans="1:7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</row>
    <row r="153" spans="1:7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</row>
    <row r="154" spans="1:7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</row>
    <row r="155" spans="1:7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</row>
    <row r="156" spans="1:7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</row>
    <row r="157" spans="1:7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</row>
    <row r="158" spans="1:7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</row>
    <row r="159" spans="1:7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</row>
    <row r="160" spans="1:7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</row>
    <row r="161" spans="1:7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</row>
    <row r="162" spans="1:7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</row>
    <row r="163" spans="1:7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</row>
    <row r="164" spans="1:7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</row>
    <row r="165" spans="1:7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</row>
    <row r="166" spans="1:7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</row>
    <row r="167" spans="1:7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</row>
    <row r="168" spans="1:7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</row>
    <row r="169" spans="1:7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</row>
    <row r="170" spans="1:7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</row>
    <row r="171" spans="1:7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</row>
    <row r="172" spans="1:7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</row>
    <row r="173" spans="1:7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</row>
    <row r="174" spans="1:7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</row>
    <row r="175" spans="1:7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</row>
    <row r="176" spans="1:7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</row>
    <row r="177" spans="1:7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</row>
    <row r="178" spans="1:7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</row>
    <row r="179" spans="1:7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</row>
    <row r="180" spans="1:7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</row>
    <row r="181" spans="1:7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</row>
    <row r="182" spans="1:7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</row>
    <row r="183" spans="1:7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</row>
    <row r="184" spans="1:7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</row>
    <row r="185" spans="1:7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</row>
    <row r="186" spans="1:7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</row>
    <row r="187" spans="1:7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</row>
    <row r="188" spans="1:7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</row>
    <row r="189" spans="1:7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</row>
    <row r="190" spans="1:7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</row>
    <row r="191" spans="1:7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</row>
    <row r="192" spans="1:7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</row>
    <row r="193" spans="1:7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</row>
    <row r="194" spans="1:7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</row>
    <row r="195" spans="1:7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</row>
    <row r="196" spans="1:7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</row>
    <row r="197" spans="1:7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</row>
    <row r="198" spans="1:7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</row>
    <row r="199" spans="1:7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</row>
    <row r="200" spans="1:7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</row>
    <row r="201" spans="1:7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</row>
    <row r="202" spans="1:7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</row>
    <row r="203" spans="1:7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</row>
    <row r="204" spans="1:7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</row>
    <row r="205" spans="1:7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</row>
    <row r="206" spans="1:7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</row>
    <row r="207" spans="1:7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</row>
    <row r="208" spans="1:7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</row>
    <row r="209" spans="1:7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</row>
    <row r="210" spans="1:7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</row>
    <row r="211" spans="1:7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</row>
    <row r="212" spans="1:7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</row>
    <row r="213" spans="1:7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</row>
    <row r="214" spans="1:7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</row>
    <row r="215" spans="1:7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</row>
    <row r="216" spans="1:7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</row>
    <row r="217" spans="1:7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</row>
    <row r="218" spans="1:7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</row>
    <row r="219" spans="1:7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</row>
    <row r="220" spans="1:7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</row>
    <row r="221" spans="1:7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</row>
    <row r="222" spans="1:7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</row>
    <row r="223" spans="1:7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</row>
    <row r="224" spans="1:7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</row>
    <row r="225" spans="1:7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</row>
    <row r="226" spans="1:7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</row>
    <row r="227" spans="1:7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</row>
    <row r="228" spans="1:7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</row>
    <row r="229" spans="1:7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</row>
    <row r="230" spans="1:7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</row>
    <row r="231" spans="1:7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</row>
    <row r="232" spans="1:7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</row>
    <row r="233" spans="1:7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</row>
    <row r="234" spans="1:7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</row>
    <row r="235" spans="1:7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</row>
    <row r="236" spans="1:7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</row>
    <row r="237" spans="1:7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</row>
    <row r="238" spans="1:7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</row>
    <row r="239" spans="1:7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</row>
    <row r="240" spans="1:7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</row>
    <row r="241" spans="1:7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</row>
    <row r="242" spans="1:7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</row>
    <row r="243" spans="1:7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</row>
    <row r="244" spans="1:7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</row>
    <row r="245" spans="1:7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</row>
    <row r="246" spans="1:7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</row>
    <row r="247" spans="1:7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</row>
    <row r="248" spans="1:7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</row>
    <row r="249" spans="1:7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</row>
    <row r="250" spans="1:7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</row>
    <row r="251" spans="1:7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</row>
    <row r="252" spans="1:7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</row>
    <row r="253" spans="1:7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</row>
    <row r="254" spans="1:7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</row>
    <row r="255" spans="1:7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</row>
    <row r="256" spans="1:7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</row>
    <row r="257" spans="1:7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</row>
    <row r="258" spans="1:7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</row>
    <row r="259" spans="1:7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</row>
    <row r="260" spans="1:7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</row>
    <row r="261" spans="1:7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</row>
    <row r="262" spans="1:7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</row>
    <row r="263" spans="1:7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</row>
    <row r="264" spans="1:7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</row>
    <row r="265" spans="1:7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</row>
    <row r="266" spans="1:7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</row>
    <row r="267" spans="1:7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</row>
    <row r="268" spans="1:7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</row>
    <row r="269" spans="1:7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</row>
    <row r="270" spans="1:7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</row>
    <row r="271" spans="1:7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</row>
    <row r="272" spans="1:7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</row>
    <row r="273" spans="1:7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</row>
    <row r="274" spans="1:7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</row>
    <row r="275" spans="1:7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</row>
    <row r="276" spans="1:7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</row>
    <row r="277" spans="1:7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</row>
    <row r="278" spans="1:7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</row>
    <row r="279" spans="1:7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</row>
    <row r="280" spans="1:7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</row>
    <row r="281" spans="1:7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</row>
    <row r="282" spans="1:7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</row>
    <row r="283" spans="1:7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</row>
    <row r="284" spans="1:7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</row>
    <row r="285" spans="1:7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</row>
    <row r="286" spans="1:7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</row>
    <row r="287" spans="1:7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</row>
    <row r="288" spans="1:7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</row>
    <row r="289" spans="1:7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</row>
    <row r="290" spans="1:7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</row>
    <row r="291" spans="1:7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</row>
    <row r="292" spans="1:7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</row>
    <row r="293" spans="1:7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</row>
    <row r="294" spans="1:7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</row>
    <row r="295" spans="1:7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</row>
    <row r="296" spans="1:7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</row>
    <row r="297" spans="1:7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</row>
    <row r="298" spans="1:7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</row>
    <row r="299" spans="1:7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</row>
    <row r="300" spans="1:7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</row>
    <row r="301" spans="1:7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</row>
    <row r="302" spans="1:7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</row>
    <row r="303" spans="1:7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</row>
    <row r="304" spans="1:7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</row>
    <row r="305" spans="1:7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</row>
    <row r="306" spans="1:7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</row>
    <row r="307" spans="1:7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</row>
    <row r="308" spans="1:7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</row>
    <row r="309" spans="1:7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</row>
    <row r="310" spans="1:7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</row>
    <row r="311" spans="1:7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</row>
    <row r="312" spans="1:7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</row>
    <row r="313" spans="1:7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</row>
    <row r="314" spans="1:7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</row>
    <row r="315" spans="1:7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</row>
    <row r="316" spans="1:7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</row>
    <row r="317" spans="1:7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</row>
    <row r="318" spans="1:7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</row>
    <row r="319" spans="1:7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</row>
    <row r="320" spans="1:7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</row>
    <row r="321" spans="1:7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</row>
    <row r="322" spans="1:7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</row>
    <row r="323" spans="1:7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</row>
    <row r="324" spans="1:7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</row>
    <row r="325" spans="1:7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</row>
    <row r="326" spans="1:7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</row>
    <row r="327" spans="1:7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</row>
    <row r="328" spans="1:7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</row>
    <row r="329" spans="1:7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</row>
    <row r="330" spans="1:7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</row>
    <row r="331" spans="1:7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</row>
    <row r="332" spans="1:7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</row>
    <row r="333" spans="1:7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</row>
    <row r="334" spans="1:7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</row>
    <row r="335" spans="1:7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</row>
    <row r="336" spans="1:7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</row>
    <row r="337" spans="1:7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</row>
    <row r="338" spans="1:7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</row>
    <row r="339" spans="1:7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</row>
    <row r="340" spans="1:7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</row>
    <row r="341" spans="1:7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</row>
    <row r="342" spans="1:7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</row>
    <row r="343" spans="1:7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</row>
    <row r="344" spans="1:7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</row>
    <row r="345" spans="1:7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</row>
    <row r="346" spans="1:7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</row>
    <row r="347" spans="1:7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</row>
    <row r="348" spans="1:7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</row>
    <row r="349" spans="1:7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</row>
    <row r="350" spans="1:7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</row>
    <row r="351" spans="1:7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</row>
    <row r="352" spans="1:7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</row>
    <row r="353" spans="1:7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</row>
    <row r="354" spans="1:7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</row>
    <row r="355" spans="1:7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</row>
    <row r="356" spans="1:7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</row>
    <row r="357" spans="1:7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</row>
    <row r="358" spans="1:7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</row>
    <row r="359" spans="1:7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</row>
    <row r="360" spans="1:7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</row>
    <row r="361" spans="1:7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</row>
    <row r="362" spans="1:7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</row>
    <row r="363" spans="1:7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</row>
    <row r="364" spans="1:7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</row>
    <row r="365" spans="1:7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</row>
    <row r="366" spans="1:7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</row>
    <row r="367" spans="1:7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</row>
    <row r="368" spans="1:7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</row>
    <row r="369" spans="1:7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</row>
    <row r="370" spans="1:7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</row>
    <row r="371" spans="1:7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</row>
    <row r="372" spans="1:7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</row>
    <row r="373" spans="1:7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</row>
    <row r="374" spans="1:7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</row>
    <row r="375" spans="1:7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</row>
    <row r="376" spans="1:7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</row>
    <row r="377" spans="1:7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</row>
    <row r="378" spans="1:7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</row>
    <row r="379" spans="1:7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</row>
    <row r="380" spans="1:7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</row>
    <row r="381" spans="1:7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</row>
    <row r="382" spans="1:7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</row>
    <row r="383" spans="1:7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</row>
    <row r="384" spans="1:7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</row>
    <row r="385" spans="1:7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</row>
    <row r="386" spans="1:7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</row>
    <row r="387" spans="1:7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</row>
    <row r="388" spans="1:7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</row>
    <row r="389" spans="1:7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</row>
    <row r="390" spans="1:7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</row>
    <row r="391" spans="1:7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</row>
    <row r="392" spans="1:7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</row>
    <row r="393" spans="1:7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</row>
    <row r="394" spans="1:7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</row>
    <row r="395" spans="1:7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</row>
    <row r="396" spans="1:7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</row>
    <row r="397" spans="1:7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</row>
    <row r="398" spans="1:7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</row>
    <row r="399" spans="1:7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</row>
    <row r="400" spans="1:7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</row>
    <row r="401" spans="1:7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</row>
    <row r="402" spans="1:7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</row>
    <row r="403" spans="1:7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</row>
    <row r="404" spans="1:7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</row>
    <row r="405" spans="1:7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</row>
    <row r="406" spans="1:7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</row>
    <row r="407" spans="1:7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</row>
    <row r="408" spans="1:7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</row>
    <row r="409" spans="1:7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</row>
    <row r="410" spans="1:7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</row>
    <row r="411" spans="1:7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</row>
    <row r="412" spans="1:7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</row>
    <row r="413" spans="1:7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</row>
    <row r="414" spans="1:7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</row>
    <row r="415" spans="1:7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</row>
    <row r="416" spans="1:7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</row>
    <row r="417" spans="1:7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</row>
    <row r="418" spans="1:7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</row>
    <row r="419" spans="1:7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</row>
    <row r="420" spans="1:7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</row>
    <row r="421" spans="1:7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</row>
    <row r="422" spans="1:7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</row>
    <row r="423" spans="1:7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</row>
    <row r="424" spans="1:7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</row>
    <row r="425" spans="1:7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</row>
    <row r="426" spans="1:7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</row>
    <row r="427" spans="1:7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</row>
    <row r="428" spans="1:7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</row>
    <row r="429" spans="1:7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</row>
    <row r="430" spans="1:7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</row>
    <row r="431" spans="1:7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</row>
    <row r="432" spans="1:7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</row>
    <row r="433" spans="1:7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</row>
    <row r="434" spans="1:7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</row>
    <row r="435" spans="1:7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</row>
    <row r="436" spans="1:7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</row>
    <row r="437" spans="1:7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</row>
    <row r="438" spans="1:7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</row>
    <row r="439" spans="1:7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</row>
    <row r="440" spans="1:7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</row>
    <row r="441" spans="1:7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</row>
    <row r="442" spans="1:7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</row>
    <row r="443" spans="1:7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</row>
    <row r="444" spans="1:7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</row>
    <row r="445" spans="1:7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</row>
    <row r="446" spans="1:7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</row>
    <row r="447" spans="1:7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</row>
    <row r="448" spans="1:7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</row>
    <row r="449" spans="1:7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</row>
    <row r="450" spans="1:7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</row>
    <row r="451" spans="1:7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</row>
    <row r="452" spans="1:7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</row>
    <row r="453" spans="1:7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</row>
    <row r="454" spans="1:7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</row>
    <row r="455" spans="1:7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</row>
    <row r="456" spans="1:7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</row>
    <row r="457" spans="1:7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</row>
    <row r="458" spans="1:7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</row>
    <row r="459" spans="1:7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</row>
    <row r="460" spans="1:7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</row>
    <row r="461" spans="1:7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</row>
    <row r="462" spans="1:7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</row>
    <row r="463" spans="1:7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</row>
    <row r="464" spans="1:7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</row>
    <row r="465" spans="1:7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</row>
    <row r="466" spans="1:7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</row>
    <row r="467" spans="1:7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</row>
    <row r="468" spans="1:7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</row>
    <row r="469" spans="1:7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</row>
    <row r="470" spans="1:7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</row>
    <row r="471" spans="1:7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</row>
    <row r="472" spans="1:7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</row>
    <row r="473" spans="1:7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</row>
    <row r="474" spans="1:7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</row>
    <row r="475" spans="1:7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</row>
    <row r="476" spans="1:7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</row>
    <row r="477" spans="1:7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</row>
    <row r="478" spans="1:7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</row>
    <row r="479" spans="1:7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</row>
    <row r="480" spans="1:7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</row>
    <row r="481" spans="1:7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</row>
    <row r="482" spans="1:7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</row>
    <row r="483" spans="1:7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</row>
    <row r="484" spans="1:7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</row>
    <row r="485" spans="1:7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</row>
    <row r="486" spans="1:7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</row>
    <row r="487" spans="1:7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</row>
    <row r="488" spans="1:7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</row>
    <row r="489" spans="1:7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</row>
    <row r="490" spans="1:7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</row>
    <row r="491" spans="1:7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</row>
    <row r="492" spans="1:7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</row>
    <row r="493" spans="1:7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</row>
    <row r="494" spans="1:7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</row>
    <row r="495" spans="1:7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</row>
    <row r="496" spans="1:7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</row>
    <row r="497" spans="1:7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</row>
    <row r="498" spans="1:7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</row>
    <row r="499" spans="1:7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</row>
    <row r="500" spans="1:7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</row>
    <row r="501" spans="1:7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</row>
    <row r="502" spans="1:7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</row>
    <row r="503" spans="1:7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</row>
    <row r="504" spans="1:7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</row>
    <row r="505" spans="1:7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</row>
    <row r="506" spans="1:7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</row>
    <row r="507" spans="1:7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</row>
    <row r="508" spans="1:7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</row>
    <row r="509" spans="1:7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</row>
    <row r="510" spans="1:7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</row>
    <row r="511" spans="1:7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</row>
    <row r="512" spans="1:7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</row>
    <row r="513" spans="1:7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</row>
    <row r="514" spans="1:7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</row>
    <row r="515" spans="1:7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</row>
    <row r="516" spans="1:7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</row>
    <row r="517" spans="1:7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</row>
    <row r="518" spans="1:7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</row>
    <row r="519" spans="1:7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</row>
    <row r="520" spans="1:7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</row>
    <row r="521" spans="1:7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</row>
    <row r="522" spans="1:7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</row>
    <row r="523" spans="1:7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</row>
    <row r="524" spans="1:7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</row>
    <row r="525" spans="1:7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</row>
    <row r="526" spans="1:7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</row>
    <row r="527" spans="1:7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</row>
    <row r="528" spans="1:7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</row>
    <row r="529" spans="1:7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</row>
    <row r="530" spans="1:7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</row>
    <row r="531" spans="1:7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</row>
    <row r="532" spans="1:7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</row>
    <row r="533" spans="1:7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</row>
    <row r="534" spans="1:7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</row>
    <row r="535" spans="1:7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</row>
    <row r="536" spans="1:7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</row>
    <row r="537" spans="1:7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</row>
    <row r="538" spans="1:7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</row>
    <row r="539" spans="1:7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</row>
    <row r="540" spans="1:7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</row>
    <row r="541" spans="1:7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</row>
    <row r="542" spans="1:7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</row>
    <row r="543" spans="1:7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</row>
    <row r="544" spans="1:7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</row>
    <row r="545" spans="1:7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</row>
    <row r="546" spans="1:7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</row>
    <row r="547" spans="1:7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</row>
    <row r="548" spans="1:7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</row>
    <row r="549" spans="1:7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</row>
    <row r="550" spans="1:7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</row>
    <row r="551" spans="1:7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</row>
    <row r="552" spans="1:7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</row>
    <row r="553" spans="1:7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</row>
    <row r="554" spans="1:7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</row>
    <row r="555" spans="1:7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</row>
    <row r="556" spans="1:7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</row>
    <row r="557" spans="1:7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</row>
    <row r="558" spans="1:7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</row>
    <row r="559" spans="1:7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</row>
    <row r="560" spans="1:7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</row>
    <row r="561" spans="1:7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</row>
    <row r="562" spans="1:7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</row>
    <row r="563" spans="1:7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</row>
    <row r="564" spans="1:7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</row>
    <row r="565" spans="1:7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</row>
    <row r="566" spans="1:7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</row>
    <row r="567" spans="1:7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</row>
    <row r="568" spans="1:7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</row>
    <row r="569" spans="1:7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</row>
    <row r="570" spans="1:7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</row>
    <row r="571" spans="1:7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</row>
    <row r="572" spans="1:7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</row>
    <row r="573" spans="1:7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</row>
    <row r="574" spans="1:7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</row>
    <row r="575" spans="1:7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</row>
    <row r="576" spans="1:7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</row>
    <row r="577" spans="1:7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</row>
    <row r="578" spans="1:7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</row>
    <row r="579" spans="1:7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</row>
    <row r="580" spans="1:7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</row>
    <row r="581" spans="1:7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</row>
    <row r="582" spans="1:7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</row>
    <row r="583" spans="1:7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</row>
    <row r="584" spans="1:7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</row>
    <row r="585" spans="1:7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</row>
    <row r="586" spans="1:7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</row>
    <row r="587" spans="1:7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</row>
    <row r="588" spans="1:7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</row>
    <row r="589" spans="1:7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</row>
    <row r="590" spans="1:7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</row>
    <row r="591" spans="1:7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</row>
    <row r="592" spans="1:7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</row>
    <row r="593" spans="1:7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</row>
    <row r="594" spans="1:7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</row>
    <row r="595" spans="1:7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</row>
    <row r="596" spans="1:7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</row>
    <row r="597" spans="1:7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</row>
    <row r="598" spans="1:7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</row>
    <row r="599" spans="1:7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</row>
    <row r="600" spans="1:7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</row>
    <row r="601" spans="1:7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</row>
    <row r="602" spans="1:7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</row>
    <row r="603" spans="1:7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</row>
    <row r="604" spans="1:7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</row>
    <row r="605" spans="1:7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</row>
    <row r="606" spans="1:7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</row>
    <row r="607" spans="1:7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</row>
    <row r="608" spans="1:7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</row>
    <row r="609" spans="1:7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</row>
    <row r="610" spans="1:7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</row>
    <row r="611" spans="1:7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</row>
    <row r="612" spans="1:7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</row>
    <row r="613" spans="1:7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</row>
    <row r="614" spans="1:7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</row>
    <row r="615" spans="1:7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</row>
    <row r="616" spans="1:7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</row>
    <row r="617" spans="1:7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</row>
    <row r="618" spans="1:7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</row>
    <row r="619" spans="1:7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</row>
    <row r="620" spans="1:7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</row>
    <row r="621" spans="1:7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</row>
    <row r="622" spans="1:7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</row>
    <row r="623" spans="1:7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</row>
    <row r="624" spans="1:7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</row>
    <row r="625" spans="1:7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</row>
    <row r="626" spans="1:7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</row>
    <row r="627" spans="1:7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</row>
    <row r="628" spans="1:7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</row>
    <row r="629" spans="1:7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</row>
    <row r="630" spans="1:7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</row>
    <row r="631" spans="1:7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</row>
    <row r="632" spans="1:7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</row>
    <row r="633" spans="1:7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</row>
    <row r="634" spans="1:7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</row>
    <row r="635" spans="1:7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</row>
    <row r="636" spans="1:7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</row>
    <row r="637" spans="1:7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</row>
    <row r="638" spans="1:7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</row>
    <row r="639" spans="1:7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</row>
    <row r="640" spans="1:7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</row>
    <row r="641" spans="1:7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</row>
    <row r="642" spans="1:7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</row>
    <row r="643" spans="1:7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</row>
    <row r="644" spans="1:7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</row>
    <row r="645" spans="1:7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</row>
    <row r="646" spans="1:7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</row>
    <row r="647" spans="1:7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</row>
    <row r="648" spans="1:7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</row>
    <row r="649" spans="1:7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</row>
    <row r="650" spans="1:7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</row>
    <row r="651" spans="1:7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</row>
    <row r="652" spans="1:7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</row>
    <row r="653" spans="1:7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</row>
    <row r="654" spans="1:7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</row>
    <row r="655" spans="1:7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</row>
    <row r="656" spans="1:7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</row>
    <row r="657" spans="1:7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</row>
    <row r="658" spans="1:7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</row>
    <row r="659" spans="1:7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</row>
    <row r="660" spans="1:7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</row>
    <row r="661" spans="1:7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</row>
    <row r="662" spans="1:7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</row>
    <row r="663" spans="1:7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</row>
    <row r="664" spans="1:7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</row>
    <row r="665" spans="1:7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</row>
    <row r="666" spans="1:7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</row>
    <row r="667" spans="1:7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</row>
    <row r="668" spans="1:7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</row>
    <row r="669" spans="1:7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</row>
    <row r="670" spans="1:7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</row>
    <row r="671" spans="1:7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</row>
    <row r="672" spans="1:7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</row>
    <row r="673" spans="1:7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</row>
    <row r="674" spans="1:7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</row>
    <row r="675" spans="1:7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</row>
    <row r="676" spans="1:7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</row>
    <row r="677" spans="1:7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</row>
    <row r="678" spans="1:7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</row>
    <row r="679" spans="1:7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</row>
    <row r="680" spans="1:7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</row>
    <row r="681" spans="1:7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</row>
    <row r="682" spans="1:7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</row>
    <row r="683" spans="1:7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</row>
    <row r="684" spans="1:7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</row>
    <row r="685" spans="1:7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</row>
    <row r="686" spans="1:7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</row>
    <row r="687" spans="1:7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</row>
    <row r="688" spans="1:7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</row>
    <row r="689" spans="1:7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</row>
    <row r="690" spans="1:7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</row>
    <row r="691" spans="1:7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</row>
    <row r="692" spans="1:7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</row>
    <row r="693" spans="1:7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</row>
    <row r="694" spans="1:7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</row>
    <row r="695" spans="1:7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</row>
    <row r="696" spans="1:7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</row>
    <row r="697" spans="1:7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</row>
    <row r="698" spans="1:7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</row>
    <row r="699" spans="1:7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</row>
    <row r="700" spans="1:7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</row>
    <row r="701" spans="1:7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</row>
    <row r="702" spans="1:7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</row>
    <row r="703" spans="1:7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</row>
    <row r="704" spans="1:7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</row>
    <row r="705" spans="1:7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</row>
    <row r="706" spans="1:7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</row>
    <row r="707" spans="1:7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</row>
    <row r="708" spans="1:7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</row>
    <row r="709" spans="1:7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</row>
    <row r="710" spans="1:7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</row>
    <row r="711" spans="1:7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</row>
    <row r="712" spans="1:7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</row>
    <row r="713" spans="1:7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</row>
    <row r="714" spans="1:7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</row>
    <row r="715" spans="1:7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</row>
    <row r="716" spans="1:7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</row>
    <row r="717" spans="1:7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</row>
    <row r="718" spans="1:7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</row>
    <row r="719" spans="1:7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</row>
    <row r="720" spans="1:7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</row>
    <row r="721" spans="1:7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</row>
    <row r="722" spans="1:7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</row>
    <row r="723" spans="1:7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</row>
    <row r="724" spans="1:7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</row>
    <row r="725" spans="1:7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</row>
    <row r="726" spans="1:7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</row>
    <row r="727" spans="1:7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</row>
    <row r="728" spans="1:7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</row>
    <row r="729" spans="1:7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</row>
    <row r="730" spans="1:7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</row>
    <row r="731" spans="1:7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</row>
    <row r="732" spans="1:7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</row>
    <row r="733" spans="1:7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</row>
    <row r="734" spans="1:7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</row>
    <row r="735" spans="1:7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</row>
    <row r="736" spans="1:7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</row>
    <row r="737" spans="1:7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</row>
    <row r="738" spans="1:7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</row>
    <row r="739" spans="1:7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</row>
    <row r="740" spans="1:7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</row>
    <row r="741" spans="1:7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</row>
    <row r="742" spans="1:7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</row>
    <row r="743" spans="1:7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</row>
    <row r="744" spans="1:7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</row>
    <row r="745" spans="1:7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</row>
    <row r="746" spans="1:7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</row>
    <row r="747" spans="1:7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</row>
    <row r="748" spans="1:7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</row>
    <row r="749" spans="1:7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</row>
    <row r="750" spans="1:7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</row>
    <row r="751" spans="1:7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</row>
    <row r="752" spans="1:7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</row>
    <row r="753" spans="1:7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</row>
    <row r="754" spans="1:7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</row>
    <row r="755" spans="1:7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</row>
    <row r="756" spans="1:7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</row>
    <row r="757" spans="1:7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</row>
    <row r="758" spans="1:7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</row>
    <row r="759" spans="1:7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</row>
    <row r="760" spans="1:7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</row>
    <row r="761" spans="1:7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</row>
    <row r="762" spans="1:7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</row>
    <row r="763" spans="1:7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</row>
    <row r="764" spans="1:7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</row>
    <row r="765" spans="1:7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</row>
    <row r="766" spans="1:7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</row>
    <row r="767" spans="1:7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</row>
    <row r="768" spans="1:7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</row>
    <row r="769" spans="1:7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</row>
    <row r="770" spans="1:7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</row>
    <row r="771" spans="1:7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</row>
    <row r="772" spans="1:7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</row>
    <row r="773" spans="1:7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</row>
    <row r="774" spans="1:7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</row>
    <row r="775" spans="1:7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</row>
    <row r="776" spans="1:7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</row>
    <row r="777" spans="1:7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</row>
    <row r="778" spans="1:7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</row>
    <row r="779" spans="1:7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</row>
    <row r="780" spans="1:7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</row>
    <row r="781" spans="1:7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</row>
    <row r="782" spans="1:7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</row>
    <row r="783" spans="1:7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</row>
    <row r="784" spans="1:7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</row>
    <row r="785" spans="1:7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</row>
    <row r="786" spans="1:7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</row>
    <row r="787" spans="1:7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</row>
    <row r="788" spans="1:7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</row>
    <row r="789" spans="1:7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</row>
    <row r="790" spans="1:7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</row>
    <row r="791" spans="1:7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</row>
    <row r="792" spans="1:7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</row>
    <row r="793" spans="1:7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</row>
    <row r="794" spans="1:7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</row>
    <row r="795" spans="1:7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</row>
    <row r="796" spans="1:7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</row>
    <row r="797" spans="1:7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</row>
    <row r="798" spans="1:7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</row>
    <row r="799" spans="1:7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</row>
    <row r="800" spans="1:7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</row>
    <row r="801" spans="1:7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</row>
    <row r="802" spans="1:7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</row>
    <row r="803" spans="1:7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</row>
    <row r="804" spans="1:7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</row>
    <row r="805" spans="1:7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</row>
    <row r="806" spans="1:7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</row>
    <row r="807" spans="1:7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</row>
    <row r="808" spans="1:7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</row>
    <row r="809" spans="1:7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</row>
    <row r="810" spans="1:7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</row>
    <row r="811" spans="1:7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</row>
    <row r="812" spans="1:7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</row>
    <row r="813" spans="1:7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</row>
    <row r="814" spans="1:7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</row>
    <row r="815" spans="1:7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</row>
    <row r="816" spans="1:7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</row>
    <row r="817" spans="1:7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</row>
    <row r="818" spans="1:7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</row>
    <row r="819" spans="1:7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</row>
    <row r="820" spans="1:7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</row>
    <row r="821" spans="1:7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</row>
    <row r="822" spans="1:7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</row>
    <row r="823" spans="1:7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</row>
    <row r="824" spans="1:7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</row>
    <row r="825" spans="1:7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</row>
    <row r="826" spans="1:7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</row>
    <row r="827" spans="1:7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</row>
    <row r="828" spans="1:7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</row>
    <row r="829" spans="1:7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</row>
    <row r="830" spans="1:7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</row>
    <row r="831" spans="1:7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</row>
    <row r="832" spans="1:7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</row>
    <row r="833" spans="1:7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</row>
    <row r="834" spans="1:7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</row>
    <row r="835" spans="1:7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</row>
    <row r="836" spans="1:7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</row>
    <row r="837" spans="1:7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</row>
    <row r="838" spans="1:7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</row>
    <row r="839" spans="1:7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</row>
    <row r="840" spans="1:7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</row>
    <row r="841" spans="1:7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</row>
    <row r="842" spans="1:7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</row>
    <row r="843" spans="1:7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</row>
    <row r="844" spans="1:7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</row>
    <row r="845" spans="1:7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</row>
    <row r="846" spans="1:7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</row>
    <row r="847" spans="1:7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</row>
    <row r="848" spans="1:7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</row>
    <row r="849" spans="1:7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</row>
    <row r="850" spans="1:7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</row>
    <row r="851" spans="1:7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</row>
    <row r="852" spans="1:7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</row>
    <row r="853" spans="1:7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</row>
    <row r="854" spans="1:7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</row>
    <row r="855" spans="1:7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</row>
    <row r="856" spans="1:7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</row>
    <row r="857" spans="1:7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</row>
    <row r="858" spans="1:7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</row>
    <row r="859" spans="1:7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</row>
    <row r="860" spans="1:7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</row>
    <row r="861" spans="1:7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</row>
    <row r="862" spans="1:7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</row>
    <row r="863" spans="1:7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</row>
    <row r="864" spans="1:7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</row>
    <row r="865" spans="1:7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</row>
    <row r="866" spans="1:7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</row>
    <row r="867" spans="1:7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</row>
    <row r="868" spans="1:7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</row>
    <row r="869" spans="1:7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</row>
    <row r="870" spans="1:7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</row>
    <row r="871" spans="1:7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</row>
    <row r="872" spans="1:7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</row>
    <row r="873" spans="1:7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</row>
    <row r="874" spans="1:7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</row>
    <row r="875" spans="1:7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</row>
    <row r="876" spans="1:7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</row>
    <row r="877" spans="1:7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</row>
    <row r="878" spans="1:7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</row>
    <row r="879" spans="1:7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</row>
    <row r="880" spans="1:7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</row>
    <row r="881" spans="1:7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</row>
    <row r="882" spans="1:7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</row>
    <row r="883" spans="1:7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</row>
    <row r="884" spans="1:7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</row>
    <row r="885" spans="1:7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</row>
    <row r="886" spans="1:7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</row>
    <row r="887" spans="1:7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</row>
    <row r="888" spans="1:7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</row>
    <row r="889" spans="1:7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</row>
    <row r="890" spans="1:7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</row>
    <row r="891" spans="1:7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</row>
    <row r="892" spans="1:7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</row>
    <row r="893" spans="1:7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</row>
    <row r="894" spans="1:7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</row>
    <row r="895" spans="1:7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</row>
    <row r="896" spans="1:7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</row>
    <row r="897" spans="1:7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</row>
    <row r="898" spans="1:7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</row>
    <row r="899" spans="1:7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</row>
    <row r="900" spans="1:7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</row>
    <row r="901" spans="1:7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</row>
    <row r="902" spans="1:7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</row>
    <row r="903" spans="1:7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</row>
    <row r="904" spans="1:7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</row>
    <row r="905" spans="1:7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</row>
    <row r="906" spans="1:7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</row>
    <row r="907" spans="1:7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</row>
    <row r="908" spans="1:7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</row>
    <row r="909" spans="1:7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</row>
    <row r="910" spans="1:7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</row>
    <row r="911" spans="1:7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</row>
    <row r="912" spans="1:7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</row>
    <row r="913" spans="1:7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</row>
    <row r="914" spans="1:7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</row>
    <row r="915" spans="1:7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</row>
    <row r="916" spans="1:7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</row>
    <row r="917" spans="1:7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</row>
    <row r="918" spans="1:7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</row>
    <row r="919" spans="1:7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</row>
    <row r="920" spans="1:7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</row>
    <row r="921" spans="1:7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</row>
    <row r="922" spans="1:7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</row>
    <row r="923" spans="1:7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</row>
    <row r="924" spans="1:7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</row>
    <row r="925" spans="1:7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</row>
    <row r="926" spans="1:7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</row>
    <row r="927" spans="1:7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</row>
    <row r="928" spans="1:7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</row>
    <row r="929" spans="1:7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</row>
    <row r="930" spans="1:7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</row>
    <row r="931" spans="1:7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</row>
    <row r="932" spans="1:7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</row>
    <row r="933" spans="1:7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</row>
    <row r="934" spans="1:7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</row>
    <row r="935" spans="1:7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</row>
    <row r="936" spans="1:7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</row>
    <row r="937" spans="1:7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</row>
    <row r="938" spans="1:7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</row>
    <row r="939" spans="1:7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</row>
    <row r="940" spans="1:7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</row>
    <row r="941" spans="1:7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</row>
    <row r="942" spans="1:7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</row>
    <row r="943" spans="1:7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</row>
    <row r="944" spans="1:7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</row>
    <row r="945" spans="1:7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</row>
    <row r="946" spans="1:7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</row>
    <row r="947" spans="1:7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</row>
    <row r="948" spans="1:7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</row>
    <row r="949" spans="1:7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</row>
    <row r="950" spans="1:7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</row>
    <row r="951" spans="1:7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</row>
    <row r="952" spans="1:7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</row>
    <row r="953" spans="1:7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</row>
    <row r="954" spans="1:7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</row>
    <row r="955" spans="1:7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</row>
  </sheetData>
  <mergeCells count="19">
    <mergeCell ref="AK1:AL1"/>
    <mergeCell ref="AS1:AT1"/>
    <mergeCell ref="BB1:BC1"/>
    <mergeCell ref="BE1:BF1"/>
    <mergeCell ref="AV1:AW1"/>
    <mergeCell ref="AY1:AZ1"/>
    <mergeCell ref="AP1:AQ1"/>
    <mergeCell ref="A1:B1"/>
    <mergeCell ref="AH1:AI1"/>
    <mergeCell ref="AB1:AC1"/>
    <mergeCell ref="V1:W1"/>
    <mergeCell ref="S1:T1"/>
    <mergeCell ref="M1:N1"/>
    <mergeCell ref="D1:E1"/>
    <mergeCell ref="J1:K1"/>
    <mergeCell ref="P1:Q1"/>
    <mergeCell ref="Y1:Z1"/>
    <mergeCell ref="AE1:AF1"/>
    <mergeCell ref="G1:H1"/>
  </mergeCells>
  <phoneticPr fontId="6" type="noConversion"/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S958"/>
  <sheetViews>
    <sheetView workbookViewId="0">
      <pane ySplit="1" topLeftCell="A2" activePane="bottomLeft" state="frozen"/>
      <selection pane="bottomLeft" activeCell="D17" sqref="D17"/>
    </sheetView>
  </sheetViews>
  <sheetFormatPr defaultColWidth="14" defaultRowHeight="12.75" x14ac:dyDescent="0.2"/>
  <cols>
    <col min="1" max="1" width="19" customWidth="1"/>
    <col min="2" max="2" width="14" customWidth="1"/>
    <col min="3" max="49" width="28" customWidth="1"/>
    <col min="50" max="50" width="20" customWidth="1"/>
    <col min="51" max="59" width="30" customWidth="1"/>
  </cols>
  <sheetData>
    <row r="1" spans="1:71" x14ac:dyDescent="0.2">
      <c r="A1" s="120">
        <v>46098</v>
      </c>
      <c r="B1" s="122" t="s">
        <v>0</v>
      </c>
      <c r="C1" s="203">
        <v>46063</v>
      </c>
      <c r="D1" s="203"/>
      <c r="E1" s="121" t="s">
        <v>0</v>
      </c>
      <c r="F1" s="203">
        <v>46037</v>
      </c>
      <c r="G1" s="203"/>
      <c r="H1" s="121" t="s">
        <v>0</v>
      </c>
      <c r="I1" s="203">
        <v>46000</v>
      </c>
      <c r="J1" s="203"/>
      <c r="K1" s="121" t="s">
        <v>0</v>
      </c>
      <c r="L1" s="203">
        <v>45960</v>
      </c>
      <c r="M1" s="203"/>
      <c r="N1" s="121" t="s">
        <v>0</v>
      </c>
      <c r="O1" s="203">
        <v>45930</v>
      </c>
      <c r="P1" s="203"/>
      <c r="Q1" s="121" t="s">
        <v>0</v>
      </c>
      <c r="R1" s="203">
        <v>45895</v>
      </c>
      <c r="S1" s="203"/>
      <c r="T1" s="121" t="s">
        <v>0</v>
      </c>
      <c r="U1" s="203">
        <v>45853</v>
      </c>
      <c r="V1" s="203"/>
      <c r="W1" s="121" t="s">
        <v>0</v>
      </c>
      <c r="X1" s="203">
        <v>45818</v>
      </c>
      <c r="Y1" s="203"/>
      <c r="Z1" s="121" t="s">
        <v>0</v>
      </c>
      <c r="AA1" s="203">
        <v>45776</v>
      </c>
      <c r="AB1" s="203"/>
      <c r="AC1" s="121" t="s">
        <v>0</v>
      </c>
      <c r="AD1" s="203">
        <v>45741</v>
      </c>
      <c r="AE1" s="203"/>
      <c r="AF1" s="121" t="s">
        <v>0</v>
      </c>
      <c r="AG1" s="203">
        <v>45708</v>
      </c>
      <c r="AH1" s="204"/>
      <c r="AI1" s="121" t="s">
        <v>0</v>
      </c>
      <c r="AJ1" s="204">
        <v>45680</v>
      </c>
      <c r="AK1" s="204"/>
      <c r="AL1" s="121" t="s">
        <v>0</v>
      </c>
      <c r="AM1" s="204">
        <v>45650</v>
      </c>
      <c r="AN1" s="204"/>
      <c r="AO1" s="121" t="s">
        <v>0</v>
      </c>
      <c r="AP1" s="204">
        <v>45601</v>
      </c>
      <c r="AQ1" s="204"/>
      <c r="AR1" s="121" t="s">
        <v>0</v>
      </c>
      <c r="AS1" s="204">
        <v>45565</v>
      </c>
      <c r="AT1" s="204"/>
      <c r="AU1" s="121" t="s">
        <v>0</v>
      </c>
      <c r="AV1" s="205">
        <v>45531</v>
      </c>
      <c r="AW1" s="205"/>
      <c r="AX1" s="121" t="s">
        <v>0</v>
      </c>
      <c r="AY1" s="195">
        <v>45496</v>
      </c>
      <c r="AZ1" s="195"/>
      <c r="BA1" s="42" t="s">
        <v>0</v>
      </c>
      <c r="BB1" s="195">
        <v>45461</v>
      </c>
      <c r="BC1" s="195"/>
      <c r="BD1" s="42" t="s">
        <v>0</v>
      </c>
      <c r="BE1" s="197">
        <v>45419</v>
      </c>
      <c r="BF1" s="197"/>
      <c r="BG1" s="123" t="s">
        <v>0</v>
      </c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</row>
    <row r="2" spans="1:71" x14ac:dyDescent="0.2">
      <c r="A2" s="9" t="s">
        <v>951</v>
      </c>
      <c r="B2" s="14">
        <v>4.0000000000000001E-3</v>
      </c>
      <c r="C2" s="15" t="s">
        <v>952</v>
      </c>
      <c r="D2" s="15" t="s">
        <v>953</v>
      </c>
      <c r="E2" s="25">
        <v>4.0000000000000001E-3</v>
      </c>
      <c r="F2" s="15" t="s">
        <v>954</v>
      </c>
      <c r="G2" s="9" t="s">
        <v>955</v>
      </c>
      <c r="H2" s="14">
        <v>4.0000000000000001E-3</v>
      </c>
      <c r="I2" s="15" t="s">
        <v>956</v>
      </c>
      <c r="J2" s="9" t="s">
        <v>957</v>
      </c>
      <c r="K2" s="3">
        <v>4.0000000000000001E-3</v>
      </c>
      <c r="L2" s="10" t="s">
        <v>1</v>
      </c>
      <c r="M2" s="17" t="s">
        <v>2</v>
      </c>
      <c r="N2" s="3">
        <v>4.0000000000000001E-3</v>
      </c>
      <c r="O2" s="15" t="s">
        <v>5</v>
      </c>
      <c r="P2" s="9" t="s">
        <v>6</v>
      </c>
      <c r="Q2" s="3">
        <v>4.1999999999999997E-3</v>
      </c>
      <c r="R2" s="15" t="s">
        <v>38</v>
      </c>
      <c r="S2" s="9" t="s">
        <v>39</v>
      </c>
      <c r="T2" s="3">
        <v>5.0000000000000001E-3</v>
      </c>
      <c r="U2" s="107" t="s">
        <v>7</v>
      </c>
      <c r="V2" s="106" t="s">
        <v>8</v>
      </c>
      <c r="W2" s="14">
        <v>5.0000000000000001E-3</v>
      </c>
      <c r="X2" s="19" t="s">
        <v>11</v>
      </c>
      <c r="Y2" s="18" t="s">
        <v>12</v>
      </c>
      <c r="Z2" s="3">
        <v>5.0000000000000001E-3</v>
      </c>
      <c r="AA2" s="19" t="s">
        <v>13</v>
      </c>
      <c r="AB2" s="18" t="s">
        <v>14</v>
      </c>
      <c r="AC2" s="3">
        <v>5.0000000000000001E-3</v>
      </c>
      <c r="AD2" s="83" t="s">
        <v>17</v>
      </c>
      <c r="AE2" s="82" t="s">
        <v>18</v>
      </c>
      <c r="AF2" s="3">
        <v>5.0000000000000001E-3</v>
      </c>
      <c r="AG2" s="83" t="s">
        <v>15</v>
      </c>
      <c r="AH2" s="82" t="s">
        <v>16</v>
      </c>
      <c r="AI2" s="114">
        <v>5.0000000000000001E-3</v>
      </c>
      <c r="AJ2" s="82" t="s">
        <v>19</v>
      </c>
      <c r="AK2" s="82" t="s">
        <v>20</v>
      </c>
      <c r="AL2" s="14">
        <v>3.8999999999999998E-3</v>
      </c>
      <c r="AM2" s="83" t="s">
        <v>21</v>
      </c>
      <c r="AN2" s="82" t="s">
        <v>22</v>
      </c>
      <c r="AO2" s="77">
        <v>2.8E-3</v>
      </c>
      <c r="AP2" s="83" t="s">
        <v>23</v>
      </c>
      <c r="AQ2" s="82" t="s">
        <v>24</v>
      </c>
      <c r="AR2" s="14">
        <v>3.3999999999999998E-3</v>
      </c>
      <c r="AS2" s="83" t="s">
        <v>25</v>
      </c>
      <c r="AT2" s="82" t="s">
        <v>26</v>
      </c>
      <c r="AU2" s="14">
        <v>3.8999999999999998E-3</v>
      </c>
      <c r="AV2" s="78" t="s">
        <v>54</v>
      </c>
      <c r="AW2" s="81" t="s">
        <v>27</v>
      </c>
      <c r="AX2" s="22">
        <v>3.3999999999999998E-3</v>
      </c>
      <c r="AY2" s="82" t="s">
        <v>44</v>
      </c>
      <c r="AZ2" s="82" t="s">
        <v>45</v>
      </c>
      <c r="BA2" s="73">
        <v>3.8E-3</v>
      </c>
      <c r="BB2" s="82" t="s">
        <v>28</v>
      </c>
      <c r="BC2" s="82" t="s">
        <v>29</v>
      </c>
      <c r="BD2" s="21">
        <v>3.2000000000000002E-3</v>
      </c>
      <c r="BE2" s="82" t="s">
        <v>48</v>
      </c>
      <c r="BF2" s="82" t="s">
        <v>958</v>
      </c>
      <c r="BG2" s="73">
        <v>7.4999999999999997E-3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</row>
    <row r="3" spans="1:71" x14ac:dyDescent="0.2">
      <c r="A3" s="5" t="s">
        <v>953</v>
      </c>
      <c r="B3" s="14">
        <v>6.0000000000000001E-3</v>
      </c>
      <c r="C3" s="12" t="s">
        <v>954</v>
      </c>
      <c r="D3" s="12" t="s">
        <v>955</v>
      </c>
      <c r="E3" s="3">
        <v>6.0000000000000001E-3</v>
      </c>
      <c r="F3" s="12" t="s">
        <v>956</v>
      </c>
      <c r="G3" s="5" t="s">
        <v>957</v>
      </c>
      <c r="H3" s="14">
        <v>6.0000000000000001E-3</v>
      </c>
      <c r="I3" s="12" t="s">
        <v>1</v>
      </c>
      <c r="J3" s="5" t="s">
        <v>2</v>
      </c>
      <c r="K3" s="3">
        <v>6.0000000000000001E-3</v>
      </c>
      <c r="L3" s="109" t="s">
        <v>7</v>
      </c>
      <c r="M3" s="108" t="s">
        <v>8</v>
      </c>
      <c r="N3" s="3">
        <v>6.0000000000000001E-3</v>
      </c>
      <c r="O3" s="15" t="s">
        <v>3</v>
      </c>
      <c r="P3" s="9" t="s">
        <v>4</v>
      </c>
      <c r="Q3" s="3">
        <v>4.1999999999999997E-3</v>
      </c>
      <c r="R3" s="31" t="s">
        <v>7</v>
      </c>
      <c r="S3" s="33" t="s">
        <v>8</v>
      </c>
      <c r="T3" s="3">
        <v>5.0000000000000001E-3</v>
      </c>
      <c r="U3" s="43" t="s">
        <v>9</v>
      </c>
      <c r="V3" s="44" t="s">
        <v>10</v>
      </c>
      <c r="W3" s="14">
        <v>5.0000000000000001E-3</v>
      </c>
      <c r="X3" s="15" t="s">
        <v>324</v>
      </c>
      <c r="Y3" s="9" t="s">
        <v>325</v>
      </c>
      <c r="Z3" s="3">
        <v>6.0000000000000001E-3</v>
      </c>
      <c r="AA3" s="15" t="s">
        <v>326</v>
      </c>
      <c r="AB3" s="9" t="s">
        <v>327</v>
      </c>
      <c r="AC3" s="3">
        <v>6.0000000000000001E-3</v>
      </c>
      <c r="AD3" s="83" t="s">
        <v>75</v>
      </c>
      <c r="AE3" s="82" t="s">
        <v>76</v>
      </c>
      <c r="AF3" s="3">
        <v>0.01</v>
      </c>
      <c r="AG3" s="83" t="s">
        <v>73</v>
      </c>
      <c r="AH3" s="82" t="s">
        <v>74</v>
      </c>
      <c r="AI3" s="114">
        <v>0.01</v>
      </c>
      <c r="AJ3" s="82" t="s">
        <v>77</v>
      </c>
      <c r="AK3" s="82" t="s">
        <v>78</v>
      </c>
      <c r="AL3" s="14">
        <v>8.2000000000000007E-3</v>
      </c>
      <c r="AM3" s="83" t="s">
        <v>79</v>
      </c>
      <c r="AN3" s="82" t="s">
        <v>80</v>
      </c>
      <c r="AO3" s="77">
        <v>6.3E-3</v>
      </c>
      <c r="AP3" s="15" t="s">
        <v>40</v>
      </c>
      <c r="AQ3" s="9" t="s">
        <v>41</v>
      </c>
      <c r="AR3" s="14">
        <v>5.5999999999999999E-3</v>
      </c>
      <c r="AS3" s="119" t="s">
        <v>959</v>
      </c>
      <c r="AT3" s="59" t="s">
        <v>960</v>
      </c>
      <c r="AU3" s="14">
        <v>3.8999999999999998E-3</v>
      </c>
      <c r="AV3" s="26" t="s">
        <v>44</v>
      </c>
      <c r="AW3" s="4" t="s">
        <v>45</v>
      </c>
      <c r="AX3" s="22">
        <v>5.5999999999999999E-3</v>
      </c>
      <c r="AY3" s="5" t="s">
        <v>28</v>
      </c>
      <c r="AZ3" s="5" t="s">
        <v>29</v>
      </c>
      <c r="BA3" s="73">
        <v>3.8E-3</v>
      </c>
      <c r="BB3" s="5" t="s">
        <v>48</v>
      </c>
      <c r="BC3" s="5" t="s">
        <v>49</v>
      </c>
      <c r="BD3" s="21">
        <v>6.4000000000000003E-3</v>
      </c>
      <c r="BE3" s="5" t="s">
        <v>30</v>
      </c>
      <c r="BF3" s="5" t="s">
        <v>31</v>
      </c>
      <c r="BG3" s="73">
        <v>6.3E-3</v>
      </c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</row>
    <row r="4" spans="1:71" x14ac:dyDescent="0.2">
      <c r="A4" s="5" t="s">
        <v>957</v>
      </c>
      <c r="B4" s="14">
        <v>8.0000000000000002E-3</v>
      </c>
      <c r="C4" s="12" t="s">
        <v>956</v>
      </c>
      <c r="D4" s="12" t="s">
        <v>957</v>
      </c>
      <c r="E4" s="3">
        <v>8.0000000000000002E-3</v>
      </c>
      <c r="F4" s="12" t="s">
        <v>1</v>
      </c>
      <c r="G4" s="5" t="s">
        <v>2</v>
      </c>
      <c r="H4" s="14">
        <v>8.0000000000000002E-3</v>
      </c>
      <c r="I4" s="12" t="s">
        <v>3</v>
      </c>
      <c r="J4" s="5" t="s">
        <v>4</v>
      </c>
      <c r="K4" s="3">
        <v>8.0000000000000002E-3</v>
      </c>
      <c r="L4" s="26" t="s">
        <v>5</v>
      </c>
      <c r="M4" s="4" t="s">
        <v>6</v>
      </c>
      <c r="N4" s="3">
        <v>8.0000000000000002E-3</v>
      </c>
      <c r="O4" s="12" t="s">
        <v>38</v>
      </c>
      <c r="P4" s="5" t="s">
        <v>39</v>
      </c>
      <c r="Q4" s="3">
        <v>5.7999999999999996E-3</v>
      </c>
      <c r="R4" s="12" t="s">
        <v>9</v>
      </c>
      <c r="S4" s="5" t="s">
        <v>10</v>
      </c>
      <c r="T4" s="3">
        <v>7.0000000000000001E-3</v>
      </c>
      <c r="U4" s="13" t="s">
        <v>11</v>
      </c>
      <c r="V4" s="11" t="s">
        <v>12</v>
      </c>
      <c r="W4" s="14">
        <v>7.0000000000000001E-3</v>
      </c>
      <c r="X4" s="15" t="s">
        <v>340</v>
      </c>
      <c r="Y4" s="9" t="s">
        <v>341</v>
      </c>
      <c r="Z4" s="3">
        <v>2.5700000000000001E-2</v>
      </c>
      <c r="AA4" s="15" t="s">
        <v>342</v>
      </c>
      <c r="AB4" s="9" t="s">
        <v>343</v>
      </c>
      <c r="AC4" s="3">
        <v>2.5700000000000001E-2</v>
      </c>
      <c r="AD4" s="83" t="s">
        <v>102</v>
      </c>
      <c r="AE4" s="82" t="s">
        <v>103</v>
      </c>
      <c r="AF4" s="3">
        <v>0.04</v>
      </c>
      <c r="AG4" s="83" t="s">
        <v>100</v>
      </c>
      <c r="AH4" s="82" t="s">
        <v>101</v>
      </c>
      <c r="AI4" s="114">
        <v>0.04</v>
      </c>
      <c r="AJ4" s="82" t="s">
        <v>104</v>
      </c>
      <c r="AK4" s="82" t="s">
        <v>105</v>
      </c>
      <c r="AL4" s="14">
        <v>2.8299999999999999E-2</v>
      </c>
      <c r="AM4" s="83" t="s">
        <v>106</v>
      </c>
      <c r="AN4" s="82" t="s">
        <v>107</v>
      </c>
      <c r="AO4" s="77">
        <v>2.4500000000000001E-2</v>
      </c>
      <c r="AP4" s="12" t="s">
        <v>25</v>
      </c>
      <c r="AQ4" s="5" t="s">
        <v>26</v>
      </c>
      <c r="AR4" s="14">
        <v>5.5999999999999999E-3</v>
      </c>
      <c r="AS4" s="12" t="s">
        <v>54</v>
      </c>
      <c r="AT4" s="5" t="s">
        <v>27</v>
      </c>
      <c r="AU4" s="14">
        <v>6.1999999999999998E-3</v>
      </c>
      <c r="AV4" s="26" t="s">
        <v>28</v>
      </c>
      <c r="AW4" s="4" t="s">
        <v>29</v>
      </c>
      <c r="AX4" s="22">
        <v>5.5999999999999999E-3</v>
      </c>
      <c r="AY4" s="5" t="s">
        <v>30</v>
      </c>
      <c r="AZ4" s="5" t="s">
        <v>31</v>
      </c>
      <c r="BA4" s="73">
        <v>6.1999999999999998E-3</v>
      </c>
      <c r="BB4" s="5" t="s">
        <v>30</v>
      </c>
      <c r="BC4" s="5" t="s">
        <v>31</v>
      </c>
      <c r="BD4" s="21">
        <v>6.4000000000000003E-3</v>
      </c>
      <c r="BE4" s="5" t="s">
        <v>46</v>
      </c>
      <c r="BF4" s="5" t="s">
        <v>47</v>
      </c>
      <c r="BG4" s="73">
        <v>7.4999999999999997E-3</v>
      </c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</row>
    <row r="5" spans="1:71" x14ac:dyDescent="0.2">
      <c r="A5" s="5" t="s">
        <v>955</v>
      </c>
      <c r="B5" s="14">
        <v>8.0000000000000002E-3</v>
      </c>
      <c r="C5" s="12" t="s">
        <v>1</v>
      </c>
      <c r="D5" s="12" t="s">
        <v>2</v>
      </c>
      <c r="E5" s="3">
        <v>8.0000000000000002E-3</v>
      </c>
      <c r="F5" s="12" t="s">
        <v>3</v>
      </c>
      <c r="G5" s="5" t="s">
        <v>4</v>
      </c>
      <c r="H5" s="14">
        <v>8.0000000000000002E-3</v>
      </c>
      <c r="I5" s="12" t="s">
        <v>5</v>
      </c>
      <c r="J5" s="5" t="s">
        <v>6</v>
      </c>
      <c r="K5" s="3">
        <v>8.0000000000000002E-3</v>
      </c>
      <c r="L5" s="26" t="s">
        <v>3</v>
      </c>
      <c r="M5" s="4" t="s">
        <v>4</v>
      </c>
      <c r="N5" s="3">
        <v>8.0000000000000002E-3</v>
      </c>
      <c r="O5" s="31" t="s">
        <v>7</v>
      </c>
      <c r="P5" s="33" t="s">
        <v>8</v>
      </c>
      <c r="Q5" s="3">
        <v>5.7999999999999996E-3</v>
      </c>
      <c r="R5" s="13" t="s">
        <v>11</v>
      </c>
      <c r="S5" s="11" t="s">
        <v>12</v>
      </c>
      <c r="T5" s="3">
        <v>7.0000000000000001E-3</v>
      </c>
      <c r="U5" s="12" t="s">
        <v>13</v>
      </c>
      <c r="V5" s="5" t="s">
        <v>14</v>
      </c>
      <c r="W5" s="14">
        <v>7.0000000000000001E-3</v>
      </c>
      <c r="X5" s="15" t="s">
        <v>354</v>
      </c>
      <c r="Y5" s="9" t="s">
        <v>355</v>
      </c>
      <c r="Z5" s="3">
        <v>8.2000000000000003E-2</v>
      </c>
      <c r="AA5" s="15" t="s">
        <v>356</v>
      </c>
      <c r="AB5" s="9" t="s">
        <v>357</v>
      </c>
      <c r="AC5" s="3">
        <v>8.2000000000000003E-2</v>
      </c>
      <c r="AD5" s="83" t="s">
        <v>125</v>
      </c>
      <c r="AE5" s="82" t="s">
        <v>126</v>
      </c>
      <c r="AF5" s="3">
        <v>0.1</v>
      </c>
      <c r="AG5" s="83" t="s">
        <v>123</v>
      </c>
      <c r="AH5" s="82" t="s">
        <v>124</v>
      </c>
      <c r="AI5" s="114">
        <v>0.1</v>
      </c>
      <c r="AJ5" s="82" t="s">
        <v>127</v>
      </c>
      <c r="AK5" s="82" t="s">
        <v>128</v>
      </c>
      <c r="AL5" s="14">
        <v>5.79E-2</v>
      </c>
      <c r="AM5" s="83" t="s">
        <v>129</v>
      </c>
      <c r="AN5" s="82" t="s">
        <v>130</v>
      </c>
      <c r="AO5" s="77">
        <v>5.0099999999999999E-2</v>
      </c>
      <c r="AP5" s="12" t="s">
        <v>54</v>
      </c>
      <c r="AQ5" s="5" t="s">
        <v>27</v>
      </c>
      <c r="AR5" s="14">
        <v>9.1000000000000004E-3</v>
      </c>
      <c r="AS5" s="12" t="s">
        <v>28</v>
      </c>
      <c r="AT5" s="5" t="s">
        <v>29</v>
      </c>
      <c r="AU5" s="14">
        <v>1.0699999999999999E-2</v>
      </c>
      <c r="AV5" s="26" t="s">
        <v>30</v>
      </c>
      <c r="AW5" s="4" t="s">
        <v>31</v>
      </c>
      <c r="AX5" s="22">
        <v>8.9999999999999993E-3</v>
      </c>
      <c r="AY5" s="5" t="s">
        <v>46</v>
      </c>
      <c r="AZ5" s="5" t="s">
        <v>47</v>
      </c>
      <c r="BA5" s="73">
        <v>9.4999999999999998E-3</v>
      </c>
      <c r="BB5" s="5" t="s">
        <v>46</v>
      </c>
      <c r="BC5" s="5" t="s">
        <v>47</v>
      </c>
      <c r="BD5" s="21">
        <v>6.4000000000000003E-3</v>
      </c>
      <c r="BE5" s="5" t="s">
        <v>50</v>
      </c>
      <c r="BF5" s="5" t="s">
        <v>51</v>
      </c>
      <c r="BG5" s="73">
        <v>6.3E-3</v>
      </c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</row>
    <row r="6" spans="1:71" x14ac:dyDescent="0.2">
      <c r="A6" s="9" t="s">
        <v>961</v>
      </c>
      <c r="B6" s="14">
        <v>5.0000000000000001E-3</v>
      </c>
      <c r="C6" s="15" t="s">
        <v>962</v>
      </c>
      <c r="D6" s="15" t="s">
        <v>963</v>
      </c>
      <c r="E6" s="25">
        <v>5.0000000000000001E-3</v>
      </c>
      <c r="F6" s="19" t="s">
        <v>964</v>
      </c>
      <c r="G6" s="18" t="s">
        <v>965</v>
      </c>
      <c r="H6" s="14">
        <v>5.0000000000000001E-3</v>
      </c>
      <c r="I6" s="19" t="s">
        <v>966</v>
      </c>
      <c r="J6" s="18" t="s">
        <v>967</v>
      </c>
      <c r="K6" s="46">
        <v>5.0000000000000001E-3</v>
      </c>
      <c r="L6" s="117" t="s">
        <v>61</v>
      </c>
      <c r="M6" s="118" t="s">
        <v>62</v>
      </c>
      <c r="N6" s="3">
        <v>5.0000000000000001E-3</v>
      </c>
      <c r="O6" s="12" t="s">
        <v>9</v>
      </c>
      <c r="P6" s="5" t="s">
        <v>10</v>
      </c>
      <c r="Q6" s="3">
        <v>5.7999999999999996E-3</v>
      </c>
      <c r="R6" s="15" t="s">
        <v>94</v>
      </c>
      <c r="S6" s="9" t="s">
        <v>95</v>
      </c>
      <c r="T6" s="3">
        <v>2.5999999999999999E-2</v>
      </c>
      <c r="U6" s="97" t="s">
        <v>65</v>
      </c>
      <c r="V6" s="116" t="s">
        <v>66</v>
      </c>
      <c r="W6" s="14">
        <v>2.5000000000000001E-2</v>
      </c>
      <c r="X6" s="15" t="s">
        <v>968</v>
      </c>
      <c r="Y6" s="9" t="s">
        <v>969</v>
      </c>
      <c r="Z6" s="3">
        <v>0.18459999999999999</v>
      </c>
      <c r="AA6" s="15" t="s">
        <v>970</v>
      </c>
      <c r="AB6" s="9" t="s">
        <v>971</v>
      </c>
      <c r="AC6" s="3">
        <v>0.18459999999999999</v>
      </c>
      <c r="AD6" s="83" t="s">
        <v>972</v>
      </c>
      <c r="AE6" s="82" t="s">
        <v>973</v>
      </c>
      <c r="AF6" s="3">
        <v>0.15</v>
      </c>
      <c r="AG6" s="83" t="s">
        <v>974</v>
      </c>
      <c r="AH6" s="82" t="s">
        <v>975</v>
      </c>
      <c r="AI6" s="114">
        <v>0.15</v>
      </c>
      <c r="AJ6" s="82" t="s">
        <v>976</v>
      </c>
      <c r="AK6" s="82" t="s">
        <v>977</v>
      </c>
      <c r="AL6" s="14">
        <v>7.7200000000000005E-2</v>
      </c>
      <c r="AM6" s="83" t="s">
        <v>978</v>
      </c>
      <c r="AN6" s="82" t="s">
        <v>979</v>
      </c>
      <c r="AO6" s="77">
        <v>6.6799999999999998E-2</v>
      </c>
      <c r="AP6" s="83" t="s">
        <v>980</v>
      </c>
      <c r="AQ6" s="82" t="s">
        <v>311</v>
      </c>
      <c r="AR6" s="14">
        <v>1.6500000000000001E-2</v>
      </c>
      <c r="AS6" s="83" t="s">
        <v>981</v>
      </c>
      <c r="AT6" s="82" t="s">
        <v>982</v>
      </c>
      <c r="AU6" s="14">
        <v>2.1700000000000001E-2</v>
      </c>
      <c r="AV6" s="78" t="s">
        <v>295</v>
      </c>
      <c r="AW6" s="81" t="s">
        <v>296</v>
      </c>
      <c r="AX6" s="22">
        <v>1.34E-2</v>
      </c>
      <c r="AY6" s="82" t="s">
        <v>239</v>
      </c>
      <c r="AZ6" s="82" t="s">
        <v>240</v>
      </c>
      <c r="BA6" s="73">
        <v>1.83E-2</v>
      </c>
      <c r="BB6" s="11" t="s">
        <v>32</v>
      </c>
      <c r="BC6" s="11" t="s">
        <v>33</v>
      </c>
      <c r="BD6" s="21">
        <v>6.4000000000000003E-3</v>
      </c>
      <c r="BE6" s="5" t="s">
        <v>32</v>
      </c>
      <c r="BF6" s="5" t="s">
        <v>33</v>
      </c>
      <c r="BG6" s="73">
        <v>5.1000000000000004E-3</v>
      </c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</row>
    <row r="7" spans="1:71" x14ac:dyDescent="0.2">
      <c r="A7" s="5" t="s">
        <v>963</v>
      </c>
      <c r="B7" s="14">
        <v>0.02</v>
      </c>
      <c r="C7" s="13" t="s">
        <v>964</v>
      </c>
      <c r="D7" s="13" t="s">
        <v>965</v>
      </c>
      <c r="E7" s="46">
        <v>2.01E-2</v>
      </c>
      <c r="F7" s="12" t="s">
        <v>966</v>
      </c>
      <c r="G7" s="5" t="s">
        <v>967</v>
      </c>
      <c r="H7" s="14">
        <v>4.2000000000000003E-2</v>
      </c>
      <c r="I7" s="12" t="s">
        <v>61</v>
      </c>
      <c r="J7" s="5" t="s">
        <v>62</v>
      </c>
      <c r="K7" s="3">
        <v>4.2000000000000003E-2</v>
      </c>
      <c r="L7" s="20" t="s">
        <v>65</v>
      </c>
      <c r="M7" s="23" t="s">
        <v>66</v>
      </c>
      <c r="N7" s="3">
        <v>4.2000000000000003E-2</v>
      </c>
      <c r="O7" s="12" t="s">
        <v>94</v>
      </c>
      <c r="P7" s="5" t="s">
        <v>95</v>
      </c>
      <c r="Q7" s="3">
        <v>3.3500000000000002E-2</v>
      </c>
      <c r="R7" s="13" t="s">
        <v>65</v>
      </c>
      <c r="S7" s="11" t="s">
        <v>66</v>
      </c>
      <c r="T7" s="3">
        <v>2.5999999999999999E-2</v>
      </c>
      <c r="U7" s="43" t="s">
        <v>67</v>
      </c>
      <c r="V7" s="115" t="s">
        <v>68</v>
      </c>
      <c r="W7" s="14">
        <v>2.5000000000000001E-2</v>
      </c>
      <c r="X7" s="19" t="s">
        <v>96</v>
      </c>
      <c r="Y7" s="18" t="s">
        <v>97</v>
      </c>
      <c r="Z7" s="3">
        <v>5.0000000000000001E-3</v>
      </c>
      <c r="AA7" s="19" t="s">
        <v>71</v>
      </c>
      <c r="AB7" s="18" t="s">
        <v>72</v>
      </c>
      <c r="AC7" s="3">
        <v>5.0000000000000001E-3</v>
      </c>
      <c r="AD7" s="83" t="s">
        <v>165</v>
      </c>
      <c r="AE7" s="82" t="s">
        <v>166</v>
      </c>
      <c r="AF7" s="3">
        <v>2.8199999999999999E-2</v>
      </c>
      <c r="AG7" s="83" t="s">
        <v>983</v>
      </c>
      <c r="AH7" s="82" t="s">
        <v>99</v>
      </c>
      <c r="AI7" s="114">
        <v>2.81E-2</v>
      </c>
      <c r="AJ7" s="82" t="s">
        <v>308</v>
      </c>
      <c r="AK7" s="82" t="s">
        <v>309</v>
      </c>
      <c r="AL7" s="14">
        <v>3.3099999999999997E-2</v>
      </c>
      <c r="AM7" s="12" t="s">
        <v>23</v>
      </c>
      <c r="AN7" s="5" t="s">
        <v>24</v>
      </c>
      <c r="AO7" s="77">
        <v>3.5000000000000001E-3</v>
      </c>
      <c r="AP7" s="15" t="s">
        <v>984</v>
      </c>
      <c r="AQ7" s="9" t="s">
        <v>345</v>
      </c>
      <c r="AR7" s="14">
        <v>1.6500000000000001E-2</v>
      </c>
      <c r="AS7" s="12" t="s">
        <v>295</v>
      </c>
      <c r="AT7" s="5" t="s">
        <v>296</v>
      </c>
      <c r="AU7" s="14">
        <v>2.1700000000000001E-2</v>
      </c>
      <c r="AV7" s="78" t="s">
        <v>985</v>
      </c>
      <c r="AW7" s="81" t="s">
        <v>314</v>
      </c>
      <c r="AX7" s="22">
        <v>1.6E-2</v>
      </c>
      <c r="AY7" s="82" t="s">
        <v>219</v>
      </c>
      <c r="AZ7" s="82" t="s">
        <v>986</v>
      </c>
      <c r="BA7" s="73">
        <v>1.83E-2</v>
      </c>
      <c r="BB7" s="82" t="s">
        <v>201</v>
      </c>
      <c r="BC7" s="82" t="s">
        <v>202</v>
      </c>
      <c r="BD7" s="21">
        <v>1.6199999999999999E-2</v>
      </c>
      <c r="BE7" s="5" t="s">
        <v>34</v>
      </c>
      <c r="BF7" s="5" t="s">
        <v>35</v>
      </c>
      <c r="BG7" s="73">
        <v>7.4999999999999997E-3</v>
      </c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</row>
    <row r="8" spans="1:71" x14ac:dyDescent="0.2">
      <c r="A8" s="11" t="s">
        <v>967</v>
      </c>
      <c r="B8" s="14">
        <v>3.2000000000000001E-2</v>
      </c>
      <c r="C8" s="13" t="s">
        <v>966</v>
      </c>
      <c r="D8" s="13" t="s">
        <v>967</v>
      </c>
      <c r="E8" s="46">
        <v>3.2199999999999999E-2</v>
      </c>
      <c r="F8" s="12" t="s">
        <v>61</v>
      </c>
      <c r="G8" s="5" t="s">
        <v>62</v>
      </c>
      <c r="H8" s="14">
        <v>4.2000000000000003E-2</v>
      </c>
      <c r="I8" s="12" t="s">
        <v>63</v>
      </c>
      <c r="J8" s="5" t="s">
        <v>64</v>
      </c>
      <c r="K8" s="46">
        <v>4.2000000000000003E-2</v>
      </c>
      <c r="L8" s="26" t="s">
        <v>63</v>
      </c>
      <c r="M8" s="4" t="s">
        <v>64</v>
      </c>
      <c r="N8" s="3">
        <v>4.2000000000000003E-2</v>
      </c>
      <c r="O8" s="13" t="s">
        <v>65</v>
      </c>
      <c r="P8" s="11" t="s">
        <v>66</v>
      </c>
      <c r="Q8" s="3">
        <v>3.3500000000000002E-2</v>
      </c>
      <c r="R8" s="12" t="s">
        <v>67</v>
      </c>
      <c r="S8" s="5" t="s">
        <v>68</v>
      </c>
      <c r="T8" s="3">
        <v>2.5999999999999999E-2</v>
      </c>
      <c r="U8" s="13" t="s">
        <v>96</v>
      </c>
      <c r="V8" s="11" t="s">
        <v>97</v>
      </c>
      <c r="W8" s="14">
        <v>2.5000000000000001E-2</v>
      </c>
      <c r="X8" s="12" t="s">
        <v>13</v>
      </c>
      <c r="Y8" s="5" t="s">
        <v>14</v>
      </c>
      <c r="Z8" s="3">
        <v>5.0000000000000001E-3</v>
      </c>
      <c r="AA8" s="12" t="s">
        <v>17</v>
      </c>
      <c r="AB8" s="5" t="s">
        <v>18</v>
      </c>
      <c r="AC8" s="3">
        <v>5.0000000000000001E-3</v>
      </c>
      <c r="AD8" s="12" t="s">
        <v>15</v>
      </c>
      <c r="AE8" s="5" t="s">
        <v>16</v>
      </c>
      <c r="AF8" s="3">
        <v>5.0000000000000001E-3</v>
      </c>
      <c r="AG8" s="12" t="s">
        <v>19</v>
      </c>
      <c r="AH8" s="5" t="s">
        <v>20</v>
      </c>
      <c r="AI8" s="3">
        <v>5.0000000000000001E-3</v>
      </c>
      <c r="AJ8" s="5" t="s">
        <v>21</v>
      </c>
      <c r="AK8" s="5" t="s">
        <v>22</v>
      </c>
      <c r="AL8" s="14">
        <v>5.0000000000000001E-3</v>
      </c>
      <c r="AM8" s="12" t="s">
        <v>81</v>
      </c>
      <c r="AN8" s="5" t="s">
        <v>82</v>
      </c>
      <c r="AO8" s="77">
        <v>6.6E-3</v>
      </c>
      <c r="AP8" s="15" t="s">
        <v>987</v>
      </c>
      <c r="AQ8" s="9" t="s">
        <v>359</v>
      </c>
      <c r="AR8" s="14">
        <v>1.6500000000000001E-2</v>
      </c>
      <c r="AS8" s="12" t="s">
        <v>985</v>
      </c>
      <c r="AT8" s="5" t="s">
        <v>314</v>
      </c>
      <c r="AU8" s="14">
        <v>2.1700000000000001E-2</v>
      </c>
      <c r="AV8" s="78" t="s">
        <v>988</v>
      </c>
      <c r="AW8" s="81" t="s">
        <v>332</v>
      </c>
      <c r="AX8" s="22">
        <v>1.6E-2</v>
      </c>
      <c r="AY8" s="82" t="s">
        <v>237</v>
      </c>
      <c r="AZ8" s="82" t="s">
        <v>989</v>
      </c>
      <c r="BA8" s="73">
        <v>1.83E-2</v>
      </c>
      <c r="BB8" s="5" t="s">
        <v>243</v>
      </c>
      <c r="BC8" s="5" t="s">
        <v>990</v>
      </c>
      <c r="BD8" s="21">
        <v>1.6199999999999999E-2</v>
      </c>
      <c r="BE8" s="82" t="s">
        <v>243</v>
      </c>
      <c r="BF8" s="82" t="s">
        <v>991</v>
      </c>
      <c r="BG8" s="73">
        <v>2.8299999999999999E-2</v>
      </c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</row>
    <row r="9" spans="1:71" x14ac:dyDescent="0.2">
      <c r="A9" s="5" t="s">
        <v>965</v>
      </c>
      <c r="B9" s="14">
        <v>3.2000000000000001E-2</v>
      </c>
      <c r="C9" s="12" t="s">
        <v>61</v>
      </c>
      <c r="D9" s="12" t="s">
        <v>62</v>
      </c>
      <c r="E9" s="3">
        <v>3.2199999999999999E-2</v>
      </c>
      <c r="F9" s="15" t="s">
        <v>992</v>
      </c>
      <c r="G9" s="9" t="s">
        <v>993</v>
      </c>
      <c r="H9" s="14">
        <v>7.1999999999999998E-3</v>
      </c>
      <c r="I9" s="15" t="s">
        <v>994</v>
      </c>
      <c r="J9" s="9" t="s">
        <v>995</v>
      </c>
      <c r="K9" s="3">
        <v>7.1999999999999998E-3</v>
      </c>
      <c r="L9" s="111" t="s">
        <v>249</v>
      </c>
      <c r="M9" s="112" t="s">
        <v>250</v>
      </c>
      <c r="N9" s="3">
        <v>7.1999999999999998E-3</v>
      </c>
      <c r="O9" s="12" t="s">
        <v>67</v>
      </c>
      <c r="P9" s="5" t="s">
        <v>68</v>
      </c>
      <c r="Q9" s="3">
        <v>3.3500000000000002E-2</v>
      </c>
      <c r="R9" s="13" t="s">
        <v>96</v>
      </c>
      <c r="S9" s="11" t="s">
        <v>97</v>
      </c>
      <c r="T9" s="3">
        <v>2.5999999999999999E-2</v>
      </c>
      <c r="U9" s="12" t="s">
        <v>69</v>
      </c>
      <c r="V9" s="5" t="s">
        <v>70</v>
      </c>
      <c r="W9" s="14">
        <v>2.5000000000000001E-2</v>
      </c>
      <c r="X9" s="12" t="s">
        <v>326</v>
      </c>
      <c r="Y9" s="5" t="s">
        <v>327</v>
      </c>
      <c r="Z9" s="3">
        <v>6.0000000000000001E-3</v>
      </c>
      <c r="AA9" s="12" t="s">
        <v>75</v>
      </c>
      <c r="AB9" s="5" t="s">
        <v>76</v>
      </c>
      <c r="AC9" s="3">
        <v>6.0000000000000001E-3</v>
      </c>
      <c r="AD9" s="12" t="s">
        <v>73</v>
      </c>
      <c r="AE9" s="5" t="s">
        <v>74</v>
      </c>
      <c r="AF9" s="3">
        <v>0.01</v>
      </c>
      <c r="AG9" s="12" t="s">
        <v>77</v>
      </c>
      <c r="AH9" s="5" t="s">
        <v>78</v>
      </c>
      <c r="AI9" s="3">
        <v>0.01</v>
      </c>
      <c r="AJ9" s="5" t="s">
        <v>79</v>
      </c>
      <c r="AK9" s="5" t="s">
        <v>80</v>
      </c>
      <c r="AL9" s="14">
        <v>1.2200000000000001E-2</v>
      </c>
      <c r="AM9" s="12" t="s">
        <v>108</v>
      </c>
      <c r="AN9" s="5" t="s">
        <v>109</v>
      </c>
      <c r="AO9" s="77">
        <v>2.6700000000000002E-2</v>
      </c>
      <c r="AP9" s="15" t="s">
        <v>996</v>
      </c>
      <c r="AQ9" s="9" t="s">
        <v>313</v>
      </c>
      <c r="AR9" s="14">
        <v>1.6500000000000001E-2</v>
      </c>
      <c r="AS9" s="12" t="s">
        <v>988</v>
      </c>
      <c r="AT9" s="5" t="s">
        <v>332</v>
      </c>
      <c r="AU9" s="14">
        <v>2.1700000000000001E-2</v>
      </c>
      <c r="AV9" s="78" t="s">
        <v>997</v>
      </c>
      <c r="AW9" s="81" t="s">
        <v>998</v>
      </c>
      <c r="AX9" s="22">
        <v>1.6E-2</v>
      </c>
      <c r="AY9" s="5" t="s">
        <v>201</v>
      </c>
      <c r="AZ9" s="5" t="s">
        <v>202</v>
      </c>
      <c r="BA9" s="73">
        <v>1.83E-2</v>
      </c>
      <c r="BB9" s="5" t="s">
        <v>262</v>
      </c>
      <c r="BC9" s="5" t="s">
        <v>999</v>
      </c>
      <c r="BD9" s="21">
        <v>1.6199999999999999E-2</v>
      </c>
      <c r="BE9" s="82" t="s">
        <v>262</v>
      </c>
      <c r="BF9" s="82" t="s">
        <v>1000</v>
      </c>
      <c r="BG9" s="73">
        <v>2.8299999999999999E-2</v>
      </c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</row>
    <row r="10" spans="1:71" x14ac:dyDescent="0.2">
      <c r="A10" s="9" t="s">
        <v>1001</v>
      </c>
      <c r="B10" s="14">
        <v>7.1999999999999998E-3</v>
      </c>
      <c r="C10" s="15" t="s">
        <v>1002</v>
      </c>
      <c r="D10" s="15" t="s">
        <v>1003</v>
      </c>
      <c r="E10" s="25">
        <v>7.1999999999999998E-3</v>
      </c>
      <c r="F10" s="12" t="s">
        <v>994</v>
      </c>
      <c r="G10" s="5" t="s">
        <v>995</v>
      </c>
      <c r="H10" s="14">
        <v>1.06E-2</v>
      </c>
      <c r="I10" s="12" t="s">
        <v>249</v>
      </c>
      <c r="J10" s="5" t="s">
        <v>250</v>
      </c>
      <c r="K10" s="3">
        <v>1.06E-2</v>
      </c>
      <c r="L10" s="109" t="s">
        <v>287</v>
      </c>
      <c r="M10" s="108" t="s">
        <v>288</v>
      </c>
      <c r="N10" s="3">
        <v>1.06E-2</v>
      </c>
      <c r="O10" s="15" t="s">
        <v>271</v>
      </c>
      <c r="P10" s="9" t="s">
        <v>272</v>
      </c>
      <c r="Q10" s="3">
        <v>5.7999999999999996E-3</v>
      </c>
      <c r="R10" s="12" t="s">
        <v>69</v>
      </c>
      <c r="S10" s="5" t="s">
        <v>70</v>
      </c>
      <c r="T10" s="3">
        <v>2.5999999999999999E-2</v>
      </c>
      <c r="U10" s="12" t="s">
        <v>71</v>
      </c>
      <c r="V10" s="5" t="s">
        <v>72</v>
      </c>
      <c r="W10" s="14">
        <v>2.5000000000000001E-2</v>
      </c>
      <c r="X10" s="12" t="s">
        <v>342</v>
      </c>
      <c r="Y10" s="5" t="s">
        <v>343</v>
      </c>
      <c r="Z10" s="3">
        <v>2.5700000000000001E-2</v>
      </c>
      <c r="AA10" s="12" t="s">
        <v>102</v>
      </c>
      <c r="AB10" s="5" t="s">
        <v>103</v>
      </c>
      <c r="AC10" s="3">
        <v>2.5700000000000001E-2</v>
      </c>
      <c r="AD10" s="12" t="s">
        <v>100</v>
      </c>
      <c r="AE10" s="5" t="s">
        <v>101</v>
      </c>
      <c r="AF10" s="3">
        <v>0.04</v>
      </c>
      <c r="AG10" s="12" t="s">
        <v>104</v>
      </c>
      <c r="AH10" s="5" t="s">
        <v>105</v>
      </c>
      <c r="AI10" s="3">
        <v>0.04</v>
      </c>
      <c r="AJ10" s="5" t="s">
        <v>106</v>
      </c>
      <c r="AK10" s="5" t="s">
        <v>107</v>
      </c>
      <c r="AL10" s="14">
        <v>5.6599999999999998E-2</v>
      </c>
      <c r="AM10" s="12" t="s">
        <v>131</v>
      </c>
      <c r="AN10" s="5" t="s">
        <v>132</v>
      </c>
      <c r="AO10" s="77">
        <v>5.5599999999999997E-2</v>
      </c>
      <c r="AP10" s="12" t="s">
        <v>981</v>
      </c>
      <c r="AQ10" s="5" t="s">
        <v>331</v>
      </c>
      <c r="AR10" s="14">
        <v>1.6500000000000001E-2</v>
      </c>
      <c r="AS10" s="12" t="s">
        <v>997</v>
      </c>
      <c r="AT10" s="5" t="s">
        <v>998</v>
      </c>
      <c r="AU10" s="14">
        <v>2.1700000000000001E-2</v>
      </c>
      <c r="AV10" s="78" t="s">
        <v>1004</v>
      </c>
      <c r="AW10" s="81" t="s">
        <v>1005</v>
      </c>
      <c r="AX10" s="22">
        <v>1.6E-2</v>
      </c>
      <c r="AY10" s="5" t="s">
        <v>203</v>
      </c>
      <c r="AZ10" s="5" t="s">
        <v>204</v>
      </c>
      <c r="BA10" s="73">
        <v>1.83E-2</v>
      </c>
      <c r="BB10" s="5" t="s">
        <v>278</v>
      </c>
      <c r="BC10" s="5" t="s">
        <v>279</v>
      </c>
      <c r="BD10" s="21">
        <v>1.6199999999999999E-2</v>
      </c>
      <c r="BE10" s="82" t="s">
        <v>278</v>
      </c>
      <c r="BF10" s="82" t="s">
        <v>1006</v>
      </c>
      <c r="BG10" s="73">
        <v>2.8299999999999999E-2</v>
      </c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</row>
    <row r="11" spans="1:71" x14ac:dyDescent="0.2">
      <c r="A11" s="5" t="s">
        <v>1003</v>
      </c>
      <c r="B11" s="14">
        <v>1.06E-2</v>
      </c>
      <c r="C11" s="12" t="s">
        <v>992</v>
      </c>
      <c r="D11" s="12" t="s">
        <v>993</v>
      </c>
      <c r="E11" s="3">
        <v>1.06E-2</v>
      </c>
      <c r="F11" s="12" t="s">
        <v>249</v>
      </c>
      <c r="G11" s="5" t="s">
        <v>250</v>
      </c>
      <c r="H11" s="14">
        <v>1.0999999999999999E-2</v>
      </c>
      <c r="I11" s="12" t="s">
        <v>229</v>
      </c>
      <c r="J11" s="5" t="s">
        <v>230</v>
      </c>
      <c r="K11" s="3">
        <v>1.0999999999999999E-2</v>
      </c>
      <c r="L11" s="26" t="s">
        <v>271</v>
      </c>
      <c r="M11" s="4" t="s">
        <v>272</v>
      </c>
      <c r="N11" s="3">
        <v>1.0999999999999999E-2</v>
      </c>
      <c r="O11" s="15" t="s">
        <v>229</v>
      </c>
      <c r="P11" s="9" t="s">
        <v>230</v>
      </c>
      <c r="Q11" s="3">
        <v>5.7999999999999996E-3</v>
      </c>
      <c r="R11" s="15" t="s">
        <v>338</v>
      </c>
      <c r="S11" s="9" t="s">
        <v>339</v>
      </c>
      <c r="T11" s="3">
        <v>7.0000000000000001E-3</v>
      </c>
      <c r="U11" s="107" t="s">
        <v>287</v>
      </c>
      <c r="V11" s="106" t="s">
        <v>288</v>
      </c>
      <c r="W11" s="14">
        <v>7.1000000000000004E-3</v>
      </c>
      <c r="X11" s="12" t="s">
        <v>356</v>
      </c>
      <c r="Y11" s="5" t="s">
        <v>357</v>
      </c>
      <c r="Z11" s="3">
        <v>8.2000000000000003E-2</v>
      </c>
      <c r="AA11" s="12" t="s">
        <v>125</v>
      </c>
      <c r="AB11" s="5" t="s">
        <v>126</v>
      </c>
      <c r="AC11" s="3">
        <v>8.2000000000000003E-2</v>
      </c>
      <c r="AD11" s="12" t="s">
        <v>123</v>
      </c>
      <c r="AE11" s="5" t="s">
        <v>124</v>
      </c>
      <c r="AF11" s="3">
        <v>0.1</v>
      </c>
      <c r="AG11" s="12" t="s">
        <v>127</v>
      </c>
      <c r="AH11" s="5" t="s">
        <v>128</v>
      </c>
      <c r="AI11" s="3">
        <v>0.1</v>
      </c>
      <c r="AJ11" s="5" t="s">
        <v>129</v>
      </c>
      <c r="AK11" s="5" t="s">
        <v>130</v>
      </c>
      <c r="AL11" s="14">
        <v>0.1158</v>
      </c>
      <c r="AM11" s="12" t="s">
        <v>1007</v>
      </c>
      <c r="AN11" s="5" t="s">
        <v>1008</v>
      </c>
      <c r="AO11" s="77">
        <v>8.8999999999999996E-2</v>
      </c>
      <c r="AP11" s="12" t="s">
        <v>985</v>
      </c>
      <c r="AQ11" s="5" t="s">
        <v>367</v>
      </c>
      <c r="AR11" s="14">
        <v>1.6500000000000001E-2</v>
      </c>
      <c r="AS11" s="12" t="s">
        <v>1004</v>
      </c>
      <c r="AT11" s="5" t="s">
        <v>1005</v>
      </c>
      <c r="AU11" s="14">
        <v>2.1700000000000001E-2</v>
      </c>
      <c r="AV11" s="26" t="s">
        <v>239</v>
      </c>
      <c r="AW11" s="4" t="s">
        <v>240</v>
      </c>
      <c r="AX11" s="22">
        <v>1.6E-2</v>
      </c>
      <c r="AY11" s="11" t="s">
        <v>221</v>
      </c>
      <c r="AZ11" s="11" t="s">
        <v>222</v>
      </c>
      <c r="BA11" s="73">
        <v>1.83E-2</v>
      </c>
      <c r="BB11" s="5" t="s">
        <v>203</v>
      </c>
      <c r="BC11" s="5" t="s">
        <v>204</v>
      </c>
      <c r="BD11" s="21">
        <v>1.6199999999999999E-2</v>
      </c>
      <c r="BE11" s="82" t="s">
        <v>1009</v>
      </c>
      <c r="BF11" s="82" t="s">
        <v>1010</v>
      </c>
      <c r="BG11" s="73">
        <v>2.8299999999999999E-2</v>
      </c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</row>
    <row r="12" spans="1:71" x14ac:dyDescent="0.2">
      <c r="A12" s="5" t="s">
        <v>995</v>
      </c>
      <c r="B12" s="14">
        <v>1.0999999999999999E-2</v>
      </c>
      <c r="C12" s="12" t="s">
        <v>994</v>
      </c>
      <c r="D12" s="12" t="s">
        <v>995</v>
      </c>
      <c r="E12" s="3">
        <v>1.0999999999999999E-2</v>
      </c>
      <c r="F12" s="12" t="s">
        <v>229</v>
      </c>
      <c r="G12" s="5" t="s">
        <v>230</v>
      </c>
      <c r="H12" s="14">
        <v>1.0999999999999999E-2</v>
      </c>
      <c r="I12" s="12" t="s">
        <v>271</v>
      </c>
      <c r="J12" s="5" t="s">
        <v>272</v>
      </c>
      <c r="K12" s="3">
        <v>1.0999999999999999E-2</v>
      </c>
      <c r="L12" s="26" t="s">
        <v>229</v>
      </c>
      <c r="M12" s="4" t="s">
        <v>230</v>
      </c>
      <c r="N12" s="3">
        <v>1.0999999999999999E-2</v>
      </c>
      <c r="O12" s="12" t="s">
        <v>338</v>
      </c>
      <c r="P12" s="5" t="s">
        <v>339</v>
      </c>
      <c r="Q12" s="3">
        <v>7.7999999999999996E-3</v>
      </c>
      <c r="R12" s="31" t="s">
        <v>287</v>
      </c>
      <c r="S12" s="33" t="s">
        <v>288</v>
      </c>
      <c r="T12" s="3">
        <v>7.0000000000000001E-3</v>
      </c>
      <c r="U12" s="43" t="s">
        <v>289</v>
      </c>
      <c r="V12" s="44" t="s">
        <v>290</v>
      </c>
      <c r="W12" s="14">
        <v>7.1000000000000004E-3</v>
      </c>
      <c r="X12" s="12" t="s">
        <v>970</v>
      </c>
      <c r="Y12" s="5" t="s">
        <v>971</v>
      </c>
      <c r="Z12" s="3">
        <v>0.18459999999999999</v>
      </c>
      <c r="AA12" s="12" t="s">
        <v>972</v>
      </c>
      <c r="AB12" s="5" t="s">
        <v>973</v>
      </c>
      <c r="AC12" s="3">
        <v>0.18459999999999999</v>
      </c>
      <c r="AD12" s="12" t="s">
        <v>974</v>
      </c>
      <c r="AE12" s="5" t="s">
        <v>975</v>
      </c>
      <c r="AF12" s="3">
        <v>0.15</v>
      </c>
      <c r="AG12" s="12" t="s">
        <v>976</v>
      </c>
      <c r="AH12" s="5" t="s">
        <v>977</v>
      </c>
      <c r="AI12" s="3">
        <v>0.15</v>
      </c>
      <c r="AJ12" s="5" t="s">
        <v>978</v>
      </c>
      <c r="AK12" s="5" t="s">
        <v>979</v>
      </c>
      <c r="AL12" s="14">
        <v>0.15440000000000001</v>
      </c>
      <c r="AM12" s="83" t="s">
        <v>328</v>
      </c>
      <c r="AN12" s="82" t="s">
        <v>1011</v>
      </c>
      <c r="AO12" s="77">
        <v>2.8899999999999999E-2</v>
      </c>
      <c r="AP12" s="12" t="s">
        <v>988</v>
      </c>
      <c r="AQ12" s="5" t="s">
        <v>378</v>
      </c>
      <c r="AR12" s="14">
        <v>1.6500000000000001E-2</v>
      </c>
      <c r="AS12" s="12" t="s">
        <v>201</v>
      </c>
      <c r="AT12" s="5" t="s">
        <v>202</v>
      </c>
      <c r="AU12" s="14">
        <v>2.1700000000000001E-2</v>
      </c>
      <c r="AV12" s="26" t="s">
        <v>201</v>
      </c>
      <c r="AW12" s="4" t="s">
        <v>202</v>
      </c>
      <c r="AX12" s="22">
        <v>1.6E-2</v>
      </c>
      <c r="AY12" s="5" t="s">
        <v>241</v>
      </c>
      <c r="AZ12" s="5" t="s">
        <v>242</v>
      </c>
      <c r="BA12" s="73">
        <v>1.83E-2</v>
      </c>
      <c r="BB12" s="11" t="s">
        <v>221</v>
      </c>
      <c r="BC12" s="11" t="s">
        <v>222</v>
      </c>
      <c r="BD12" s="21">
        <v>1.6199999999999999E-2</v>
      </c>
      <c r="BE12" s="5" t="s">
        <v>203</v>
      </c>
      <c r="BF12" s="5" t="s">
        <v>259</v>
      </c>
      <c r="BG12" s="73">
        <v>2.8299999999999999E-2</v>
      </c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</row>
    <row r="13" spans="1:71" x14ac:dyDescent="0.2">
      <c r="A13" s="5" t="s">
        <v>993</v>
      </c>
      <c r="B13" s="14">
        <v>1.0999999999999999E-2</v>
      </c>
      <c r="C13" s="12" t="s">
        <v>249</v>
      </c>
      <c r="D13" s="12" t="s">
        <v>250</v>
      </c>
      <c r="E13" s="3">
        <v>1.0999999999999999E-2</v>
      </c>
      <c r="F13" s="15" t="s">
        <v>1012</v>
      </c>
      <c r="G13" s="9" t="s">
        <v>1013</v>
      </c>
      <c r="H13" s="14">
        <v>2.1000000000000001E-2</v>
      </c>
      <c r="I13" s="15" t="s">
        <v>1014</v>
      </c>
      <c r="J13" s="9" t="s">
        <v>1015</v>
      </c>
      <c r="K13" s="3">
        <v>2.1000000000000001E-2</v>
      </c>
      <c r="L13" s="111" t="s">
        <v>267</v>
      </c>
      <c r="M13" s="112" t="s">
        <v>268</v>
      </c>
      <c r="N13" s="3">
        <v>2.1000000000000001E-2</v>
      </c>
      <c r="O13" s="31" t="s">
        <v>287</v>
      </c>
      <c r="P13" s="33" t="s">
        <v>288</v>
      </c>
      <c r="Q13" s="3">
        <v>7.7999999999999996E-3</v>
      </c>
      <c r="R13" s="12" t="s">
        <v>289</v>
      </c>
      <c r="S13" s="5" t="s">
        <v>290</v>
      </c>
      <c r="T13" s="3">
        <v>0.01</v>
      </c>
      <c r="U13" s="12" t="s">
        <v>324</v>
      </c>
      <c r="V13" s="5" t="s">
        <v>325</v>
      </c>
      <c r="W13" s="14">
        <v>0.01</v>
      </c>
      <c r="X13" s="12" t="s">
        <v>71</v>
      </c>
      <c r="Y13" s="5" t="s">
        <v>72</v>
      </c>
      <c r="Z13" s="3">
        <v>5.0000000000000001E-3</v>
      </c>
      <c r="AA13" s="12" t="s">
        <v>165</v>
      </c>
      <c r="AB13" s="5" t="s">
        <v>166</v>
      </c>
      <c r="AC13" s="3">
        <v>5.0000000000000001E-3</v>
      </c>
      <c r="AD13" s="12" t="s">
        <v>1016</v>
      </c>
      <c r="AE13" s="5" t="s">
        <v>99</v>
      </c>
      <c r="AF13" s="3">
        <v>2.8199999999999999E-2</v>
      </c>
      <c r="AG13" s="12" t="s">
        <v>308</v>
      </c>
      <c r="AH13" s="5" t="s">
        <v>309</v>
      </c>
      <c r="AI13" s="3">
        <v>2.81E-2</v>
      </c>
      <c r="AJ13" s="5" t="s">
        <v>182</v>
      </c>
      <c r="AK13" s="5" t="s">
        <v>183</v>
      </c>
      <c r="AL13" s="14">
        <v>5.1499999999999997E-2</v>
      </c>
      <c r="AM13" s="12" t="s">
        <v>310</v>
      </c>
      <c r="AN13" s="5" t="s">
        <v>1017</v>
      </c>
      <c r="AO13" s="77">
        <v>2.8899999999999999E-2</v>
      </c>
      <c r="AP13" s="83" t="s">
        <v>81</v>
      </c>
      <c r="AQ13" s="82" t="s">
        <v>82</v>
      </c>
      <c r="AR13" s="14">
        <v>6.7999999999999996E-3</v>
      </c>
      <c r="AS13" s="83" t="s">
        <v>83</v>
      </c>
      <c r="AT13" s="82" t="s">
        <v>84</v>
      </c>
      <c r="AU13" s="14">
        <v>7.4000000000000003E-3</v>
      </c>
      <c r="AV13" s="26" t="s">
        <v>203</v>
      </c>
      <c r="AW13" s="4" t="s">
        <v>204</v>
      </c>
      <c r="AX13" s="22">
        <v>1.6E-2</v>
      </c>
      <c r="AY13" s="5" t="s">
        <v>260</v>
      </c>
      <c r="AZ13" s="5" t="s">
        <v>261</v>
      </c>
      <c r="BA13" s="73">
        <v>1.83E-2</v>
      </c>
      <c r="BB13" s="5" t="s">
        <v>241</v>
      </c>
      <c r="BC13" s="5" t="s">
        <v>242</v>
      </c>
      <c r="BD13" s="21">
        <v>1.6199999999999999E-2</v>
      </c>
      <c r="BE13" s="96" t="s">
        <v>221</v>
      </c>
      <c r="BF13" s="96" t="s">
        <v>277</v>
      </c>
      <c r="BG13" s="73">
        <v>2.8299999999999999E-2</v>
      </c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</row>
    <row r="14" spans="1:71" x14ac:dyDescent="0.2">
      <c r="A14" s="9" t="s">
        <v>1018</v>
      </c>
      <c r="B14" s="14">
        <v>2.1000000000000001E-2</v>
      </c>
      <c r="C14" s="15" t="s">
        <v>1019</v>
      </c>
      <c r="D14" s="15" t="s">
        <v>1020</v>
      </c>
      <c r="E14" s="25">
        <v>2.1000000000000001E-2</v>
      </c>
      <c r="F14" s="12" t="s">
        <v>1014</v>
      </c>
      <c r="G14" s="5" t="s">
        <v>1015</v>
      </c>
      <c r="H14" s="14">
        <v>3.2300000000000002E-2</v>
      </c>
      <c r="I14" s="12" t="s">
        <v>267</v>
      </c>
      <c r="J14" s="5" t="s">
        <v>268</v>
      </c>
      <c r="K14" s="3">
        <v>3.2300000000000002E-2</v>
      </c>
      <c r="L14" s="109" t="s">
        <v>302</v>
      </c>
      <c r="M14" s="108" t="s">
        <v>303</v>
      </c>
      <c r="N14" s="3">
        <v>3.2300000000000002E-2</v>
      </c>
      <c r="O14" s="12" t="s">
        <v>289</v>
      </c>
      <c r="P14" s="5" t="s">
        <v>290</v>
      </c>
      <c r="Q14" s="3">
        <v>7.7999999999999996E-3</v>
      </c>
      <c r="R14" s="12" t="s">
        <v>324</v>
      </c>
      <c r="S14" s="5" t="s">
        <v>325</v>
      </c>
      <c r="T14" s="3">
        <v>0.01</v>
      </c>
      <c r="U14" s="12" t="s">
        <v>326</v>
      </c>
      <c r="V14" s="5" t="s">
        <v>327</v>
      </c>
      <c r="W14" s="14">
        <v>0.01</v>
      </c>
      <c r="X14" s="12" t="s">
        <v>15</v>
      </c>
      <c r="Y14" s="5" t="s">
        <v>16</v>
      </c>
      <c r="Z14" s="3">
        <v>5.0000000000000001E-3</v>
      </c>
      <c r="AA14" s="12" t="s">
        <v>15</v>
      </c>
      <c r="AB14" s="5" t="s">
        <v>16</v>
      </c>
      <c r="AC14" s="3">
        <v>5.0000000000000001E-3</v>
      </c>
      <c r="AD14" s="12" t="s">
        <v>19</v>
      </c>
      <c r="AE14" s="5" t="s">
        <v>20</v>
      </c>
      <c r="AF14" s="3">
        <v>5.0000000000000001E-3</v>
      </c>
      <c r="AG14" s="12" t="s">
        <v>21</v>
      </c>
      <c r="AH14" s="5" t="s">
        <v>22</v>
      </c>
      <c r="AI14" s="3">
        <v>5.0000000000000001E-3</v>
      </c>
      <c r="AJ14" s="5" t="s">
        <v>23</v>
      </c>
      <c r="AK14" s="5" t="s">
        <v>24</v>
      </c>
      <c r="AL14" s="14">
        <v>5.0000000000000001E-3</v>
      </c>
      <c r="AM14" s="12" t="s">
        <v>40</v>
      </c>
      <c r="AN14" s="5" t="s">
        <v>41</v>
      </c>
      <c r="AO14" s="77">
        <v>4.1999999999999997E-3</v>
      </c>
      <c r="AP14" s="15" t="s">
        <v>150</v>
      </c>
      <c r="AQ14" s="9" t="s">
        <v>151</v>
      </c>
      <c r="AR14" s="14">
        <v>7.9000000000000008E-3</v>
      </c>
      <c r="AS14" s="12" t="s">
        <v>1021</v>
      </c>
      <c r="AT14" s="5" t="s">
        <v>85</v>
      </c>
      <c r="AU14" s="14">
        <v>7.4000000000000003E-3</v>
      </c>
      <c r="AV14" s="20" t="s">
        <v>221</v>
      </c>
      <c r="AW14" s="23" t="s">
        <v>222</v>
      </c>
      <c r="AX14" s="22">
        <v>1.6E-2</v>
      </c>
      <c r="AY14" s="82" t="s">
        <v>360</v>
      </c>
      <c r="AZ14" s="82" t="s">
        <v>361</v>
      </c>
      <c r="BA14" s="73">
        <v>7.6E-3</v>
      </c>
      <c r="BB14" s="5" t="s">
        <v>260</v>
      </c>
      <c r="BC14" s="5" t="s">
        <v>261</v>
      </c>
      <c r="BD14" s="21">
        <v>1.6199999999999999E-2</v>
      </c>
      <c r="BE14" s="5" t="s">
        <v>241</v>
      </c>
      <c r="BF14" s="5" t="s">
        <v>1022</v>
      </c>
      <c r="BG14" s="73">
        <v>2.8299999999999999E-2</v>
      </c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</row>
    <row r="15" spans="1:71" x14ac:dyDescent="0.2">
      <c r="A15" s="5" t="s">
        <v>1020</v>
      </c>
      <c r="B15" s="14">
        <v>3.2199999999999999E-2</v>
      </c>
      <c r="C15" s="12" t="s">
        <v>1012</v>
      </c>
      <c r="D15" s="12" t="s">
        <v>1013</v>
      </c>
      <c r="E15" s="3">
        <v>3.2300000000000002E-2</v>
      </c>
      <c r="F15" s="12" t="s">
        <v>267</v>
      </c>
      <c r="G15" s="5" t="s">
        <v>268</v>
      </c>
      <c r="H15" s="14">
        <v>3.4799999999999998E-2</v>
      </c>
      <c r="I15" s="12" t="s">
        <v>251</v>
      </c>
      <c r="J15" s="5" t="s">
        <v>252</v>
      </c>
      <c r="K15" s="3">
        <v>3.4599999999999999E-2</v>
      </c>
      <c r="L15" s="26" t="s">
        <v>285</v>
      </c>
      <c r="M15" s="4" t="s">
        <v>286</v>
      </c>
      <c r="N15" s="3">
        <v>3.4599999999999999E-2</v>
      </c>
      <c r="O15" s="15" t="s">
        <v>285</v>
      </c>
      <c r="P15" s="9" t="s">
        <v>286</v>
      </c>
      <c r="Q15" s="3">
        <v>1.55E-2</v>
      </c>
      <c r="R15" s="15" t="s">
        <v>352</v>
      </c>
      <c r="S15" s="9" t="s">
        <v>353</v>
      </c>
      <c r="T15" s="3">
        <v>0.02</v>
      </c>
      <c r="U15" s="107" t="s">
        <v>302</v>
      </c>
      <c r="V15" s="106" t="s">
        <v>303</v>
      </c>
      <c r="W15" s="14">
        <v>2.0199999999999999E-2</v>
      </c>
      <c r="X15" s="12" t="s">
        <v>73</v>
      </c>
      <c r="Y15" s="5" t="s">
        <v>74</v>
      </c>
      <c r="Z15" s="3">
        <v>6.0000000000000001E-3</v>
      </c>
      <c r="AA15" s="12" t="s">
        <v>73</v>
      </c>
      <c r="AB15" s="5" t="s">
        <v>74</v>
      </c>
      <c r="AC15" s="3">
        <v>6.0000000000000001E-3</v>
      </c>
      <c r="AD15" s="12" t="s">
        <v>77</v>
      </c>
      <c r="AE15" s="5" t="s">
        <v>78</v>
      </c>
      <c r="AF15" s="3">
        <v>0.01</v>
      </c>
      <c r="AG15" s="12" t="s">
        <v>79</v>
      </c>
      <c r="AH15" s="5" t="s">
        <v>80</v>
      </c>
      <c r="AI15" s="3">
        <v>0.01</v>
      </c>
      <c r="AJ15" s="5" t="s">
        <v>81</v>
      </c>
      <c r="AK15" s="5" t="s">
        <v>82</v>
      </c>
      <c r="AL15" s="14">
        <v>1.2699999999999999E-2</v>
      </c>
      <c r="AM15" s="12" t="s">
        <v>150</v>
      </c>
      <c r="AN15" s="5" t="s">
        <v>151</v>
      </c>
      <c r="AO15" s="77">
        <v>8.6999999999999994E-3</v>
      </c>
      <c r="AP15" s="12" t="s">
        <v>83</v>
      </c>
      <c r="AQ15" s="5" t="s">
        <v>84</v>
      </c>
      <c r="AR15" s="14">
        <v>8.3000000000000001E-3</v>
      </c>
      <c r="AS15" s="12" t="s">
        <v>199</v>
      </c>
      <c r="AT15" s="5" t="s">
        <v>1023</v>
      </c>
      <c r="AU15" s="14">
        <v>9.2999999999999992E-3</v>
      </c>
      <c r="AV15" s="78" t="s">
        <v>199</v>
      </c>
      <c r="AW15" s="81" t="s">
        <v>85</v>
      </c>
      <c r="AX15" s="22">
        <v>6.7999999999999996E-3</v>
      </c>
      <c r="AY15" s="5" t="s">
        <v>1024</v>
      </c>
      <c r="AZ15" s="5" t="s">
        <v>152</v>
      </c>
      <c r="BA15" s="73">
        <v>7.6E-3</v>
      </c>
      <c r="BB15" s="11" t="s">
        <v>205</v>
      </c>
      <c r="BC15" s="11" t="s">
        <v>206</v>
      </c>
      <c r="BD15" s="21">
        <v>1.6199999999999999E-2</v>
      </c>
      <c r="BE15" s="5" t="s">
        <v>260</v>
      </c>
      <c r="BF15" s="5" t="s">
        <v>1025</v>
      </c>
      <c r="BG15" s="73">
        <v>2.8299999999999999E-2</v>
      </c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</row>
    <row r="16" spans="1:71" x14ac:dyDescent="0.2">
      <c r="A16" s="5" t="s">
        <v>1015</v>
      </c>
      <c r="B16" s="14">
        <v>3.4799999999999998E-2</v>
      </c>
      <c r="C16" s="12" t="s">
        <v>1014</v>
      </c>
      <c r="D16" s="12" t="s">
        <v>1015</v>
      </c>
      <c r="E16" s="3">
        <v>3.4799999999999998E-2</v>
      </c>
      <c r="F16" s="12" t="s">
        <v>251</v>
      </c>
      <c r="G16" s="5" t="s">
        <v>252</v>
      </c>
      <c r="H16" s="14">
        <v>3.4799999999999998E-2</v>
      </c>
      <c r="I16" s="12" t="s">
        <v>285</v>
      </c>
      <c r="J16" s="5" t="s">
        <v>286</v>
      </c>
      <c r="K16" s="3">
        <v>3.4599999999999999E-2</v>
      </c>
      <c r="L16" s="26" t="s">
        <v>251</v>
      </c>
      <c r="M16" s="4" t="s">
        <v>252</v>
      </c>
      <c r="N16" s="3">
        <v>3.4599999999999999E-2</v>
      </c>
      <c r="O16" s="15" t="s">
        <v>251</v>
      </c>
      <c r="P16" s="9" t="s">
        <v>252</v>
      </c>
      <c r="Q16" s="3">
        <v>1.55E-2</v>
      </c>
      <c r="R16" s="31" t="s">
        <v>302</v>
      </c>
      <c r="S16" s="33" t="s">
        <v>303</v>
      </c>
      <c r="T16" s="3">
        <v>0.02</v>
      </c>
      <c r="U16" s="43" t="s">
        <v>304</v>
      </c>
      <c r="V16" s="44" t="s">
        <v>305</v>
      </c>
      <c r="W16" s="14">
        <v>2.0199999999999999E-2</v>
      </c>
      <c r="X16" s="12" t="s">
        <v>100</v>
      </c>
      <c r="Y16" s="5" t="s">
        <v>101</v>
      </c>
      <c r="Z16" s="3">
        <v>2.5700000000000001E-2</v>
      </c>
      <c r="AA16" s="12" t="s">
        <v>100</v>
      </c>
      <c r="AB16" s="5" t="s">
        <v>101</v>
      </c>
      <c r="AC16" s="3">
        <v>2.5700000000000001E-2</v>
      </c>
      <c r="AD16" s="12" t="s">
        <v>104</v>
      </c>
      <c r="AE16" s="5" t="s">
        <v>105</v>
      </c>
      <c r="AF16" s="3">
        <v>0.04</v>
      </c>
      <c r="AG16" s="12" t="s">
        <v>106</v>
      </c>
      <c r="AH16" s="5" t="s">
        <v>107</v>
      </c>
      <c r="AI16" s="3">
        <v>0.04</v>
      </c>
      <c r="AJ16" s="5" t="s">
        <v>108</v>
      </c>
      <c r="AK16" s="5" t="s">
        <v>109</v>
      </c>
      <c r="AL16" s="14">
        <v>5.6599999999999998E-2</v>
      </c>
      <c r="AM16" s="12" t="s">
        <v>167</v>
      </c>
      <c r="AN16" s="5" t="s">
        <v>168</v>
      </c>
      <c r="AO16" s="77">
        <v>6.0100000000000001E-2</v>
      </c>
      <c r="AP16" s="12" t="s">
        <v>199</v>
      </c>
      <c r="AQ16" s="5" t="s">
        <v>85</v>
      </c>
      <c r="AR16" s="14">
        <v>1.15E-2</v>
      </c>
      <c r="AS16" s="12" t="s">
        <v>1024</v>
      </c>
      <c r="AT16" s="5" t="s">
        <v>152</v>
      </c>
      <c r="AU16" s="14">
        <v>1.29E-2</v>
      </c>
      <c r="AV16" s="26" t="s">
        <v>360</v>
      </c>
      <c r="AW16" s="4" t="s">
        <v>361</v>
      </c>
      <c r="AX16" s="22">
        <v>7.9000000000000008E-3</v>
      </c>
      <c r="AY16" s="5" t="s">
        <v>346</v>
      </c>
      <c r="AZ16" s="5" t="s">
        <v>347</v>
      </c>
      <c r="BA16" s="73">
        <v>1.14E-2</v>
      </c>
      <c r="BB16" s="11" t="s">
        <v>223</v>
      </c>
      <c r="BC16" s="11" t="s">
        <v>224</v>
      </c>
      <c r="BD16" s="21">
        <v>1.6199999999999999E-2</v>
      </c>
      <c r="BE16" s="5" t="s">
        <v>207</v>
      </c>
      <c r="BF16" s="5" t="s">
        <v>1026</v>
      </c>
      <c r="BG16" s="73">
        <v>2.8299999999999999E-2</v>
      </c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</row>
    <row r="17" spans="1:71" x14ac:dyDescent="0.2">
      <c r="A17" s="5" t="s">
        <v>1013</v>
      </c>
      <c r="B17" s="14">
        <v>3.4799999999999998E-2</v>
      </c>
      <c r="C17" s="12" t="s">
        <v>267</v>
      </c>
      <c r="D17" s="12" t="s">
        <v>268</v>
      </c>
      <c r="E17" s="3">
        <v>3.4799999999999998E-2</v>
      </c>
      <c r="F17" s="15" t="s">
        <v>1027</v>
      </c>
      <c r="G17" s="9" t="s">
        <v>1028</v>
      </c>
      <c r="H17" s="14">
        <v>6.2399999999999997E-2</v>
      </c>
      <c r="I17" s="15" t="s">
        <v>1029</v>
      </c>
      <c r="J17" s="9" t="s">
        <v>1030</v>
      </c>
      <c r="K17" s="3">
        <v>6.25E-2</v>
      </c>
      <c r="L17" s="111" t="s">
        <v>283</v>
      </c>
      <c r="M17" s="112" t="s">
        <v>284</v>
      </c>
      <c r="N17" s="3">
        <v>6.25E-2</v>
      </c>
      <c r="O17" s="12" t="s">
        <v>352</v>
      </c>
      <c r="P17" s="5" t="s">
        <v>353</v>
      </c>
      <c r="Q17" s="3">
        <v>2.6700000000000002E-2</v>
      </c>
      <c r="R17" s="12" t="s">
        <v>304</v>
      </c>
      <c r="S17" s="5" t="s">
        <v>305</v>
      </c>
      <c r="T17" s="3">
        <v>3.4500000000000003E-2</v>
      </c>
      <c r="U17" s="12" t="s">
        <v>340</v>
      </c>
      <c r="V17" s="5" t="s">
        <v>341</v>
      </c>
      <c r="W17" s="14">
        <v>3.4000000000000002E-2</v>
      </c>
      <c r="X17" s="12" t="s">
        <v>123</v>
      </c>
      <c r="Y17" s="5" t="s">
        <v>124</v>
      </c>
      <c r="Z17" s="3">
        <v>8.2000000000000003E-2</v>
      </c>
      <c r="AA17" s="12" t="s">
        <v>123</v>
      </c>
      <c r="AB17" s="5" t="s">
        <v>124</v>
      </c>
      <c r="AC17" s="3">
        <v>8.2000000000000003E-2</v>
      </c>
      <c r="AD17" s="12" t="s">
        <v>127</v>
      </c>
      <c r="AE17" s="5" t="s">
        <v>128</v>
      </c>
      <c r="AF17" s="3">
        <v>0.1</v>
      </c>
      <c r="AG17" s="12" t="s">
        <v>129</v>
      </c>
      <c r="AH17" s="5" t="s">
        <v>130</v>
      </c>
      <c r="AI17" s="3">
        <v>0.1</v>
      </c>
      <c r="AJ17" s="5" t="s">
        <v>131</v>
      </c>
      <c r="AK17" s="5" t="s">
        <v>132</v>
      </c>
      <c r="AL17" s="14">
        <v>0.1158</v>
      </c>
      <c r="AM17" s="12" t="s">
        <v>184</v>
      </c>
      <c r="AN17" s="5" t="s">
        <v>185</v>
      </c>
      <c r="AO17" s="77">
        <v>8.3500000000000005E-2</v>
      </c>
      <c r="AP17" s="83" t="s">
        <v>108</v>
      </c>
      <c r="AQ17" s="82" t="s">
        <v>109</v>
      </c>
      <c r="AR17" s="14">
        <v>2.1100000000000001E-2</v>
      </c>
      <c r="AS17" s="83" t="s">
        <v>110</v>
      </c>
      <c r="AT17" s="82" t="s">
        <v>111</v>
      </c>
      <c r="AU17" s="14">
        <v>2.07E-2</v>
      </c>
      <c r="AV17" s="26" t="s">
        <v>1024</v>
      </c>
      <c r="AW17" s="4" t="s">
        <v>152</v>
      </c>
      <c r="AX17" s="22">
        <v>8.0000000000000002E-3</v>
      </c>
      <c r="AY17" s="5" t="s">
        <v>369</v>
      </c>
      <c r="AZ17" s="5" t="s">
        <v>370</v>
      </c>
      <c r="BA17" s="73">
        <v>1.3299999999999999E-2</v>
      </c>
      <c r="BB17" s="82" t="s">
        <v>1024</v>
      </c>
      <c r="BC17" s="82" t="s">
        <v>152</v>
      </c>
      <c r="BD17" s="21">
        <v>8.3999999999999995E-3</v>
      </c>
      <c r="BE17" s="11" t="s">
        <v>205</v>
      </c>
      <c r="BF17" s="11" t="s">
        <v>1031</v>
      </c>
      <c r="BG17" s="73">
        <v>2.8299999999999999E-2</v>
      </c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</row>
    <row r="18" spans="1:71" x14ac:dyDescent="0.2">
      <c r="A18" s="9" t="s">
        <v>1032</v>
      </c>
      <c r="B18" s="14">
        <v>6.2399999999999997E-2</v>
      </c>
      <c r="C18" s="15" t="s">
        <v>1033</v>
      </c>
      <c r="D18" s="15" t="s">
        <v>1034</v>
      </c>
      <c r="E18" s="25">
        <v>6.2399999999999997E-2</v>
      </c>
      <c r="F18" s="12" t="s">
        <v>1029</v>
      </c>
      <c r="G18" s="5" t="s">
        <v>1030</v>
      </c>
      <c r="H18" s="14">
        <v>7.9899999999999999E-2</v>
      </c>
      <c r="I18" s="12" t="s">
        <v>283</v>
      </c>
      <c r="J18" s="5" t="s">
        <v>284</v>
      </c>
      <c r="K18" s="3">
        <v>7.9899999999999999E-2</v>
      </c>
      <c r="L18" s="109" t="s">
        <v>320</v>
      </c>
      <c r="M18" s="108" t="s">
        <v>321</v>
      </c>
      <c r="N18" s="3">
        <v>7.9899999999999999E-2</v>
      </c>
      <c r="O18" s="31" t="s">
        <v>302</v>
      </c>
      <c r="P18" s="33" t="s">
        <v>303</v>
      </c>
      <c r="Q18" s="3">
        <v>2.6700000000000002E-2</v>
      </c>
      <c r="R18" s="12" t="s">
        <v>340</v>
      </c>
      <c r="S18" s="5" t="s">
        <v>341</v>
      </c>
      <c r="T18" s="3">
        <v>3.4500000000000003E-2</v>
      </c>
      <c r="U18" s="12" t="s">
        <v>342</v>
      </c>
      <c r="V18" s="5" t="s">
        <v>343</v>
      </c>
      <c r="W18" s="14">
        <v>3.4000000000000002E-2</v>
      </c>
      <c r="X18" s="12" t="s">
        <v>974</v>
      </c>
      <c r="Y18" s="5" t="s">
        <v>975</v>
      </c>
      <c r="Z18" s="3">
        <v>0.18459999999999999</v>
      </c>
      <c r="AA18" s="12" t="s">
        <v>974</v>
      </c>
      <c r="AB18" s="5" t="s">
        <v>975</v>
      </c>
      <c r="AC18" s="3">
        <v>0.18459999999999999</v>
      </c>
      <c r="AD18" s="12" t="s">
        <v>976</v>
      </c>
      <c r="AE18" s="5" t="s">
        <v>977</v>
      </c>
      <c r="AF18" s="3">
        <v>0.15</v>
      </c>
      <c r="AG18" s="12" t="s">
        <v>978</v>
      </c>
      <c r="AH18" s="5" t="s">
        <v>979</v>
      </c>
      <c r="AI18" s="3">
        <v>0.15</v>
      </c>
      <c r="AJ18" s="5" t="s">
        <v>1007</v>
      </c>
      <c r="AK18" s="5" t="s">
        <v>1008</v>
      </c>
      <c r="AL18" s="14">
        <v>0.15440000000000001</v>
      </c>
      <c r="AM18" s="12" t="s">
        <v>1035</v>
      </c>
      <c r="AN18" s="5" t="s">
        <v>1036</v>
      </c>
      <c r="AO18" s="77">
        <v>0.1135</v>
      </c>
      <c r="AP18" s="15" t="s">
        <v>167</v>
      </c>
      <c r="AQ18" s="9" t="s">
        <v>168</v>
      </c>
      <c r="AR18" s="14">
        <v>2.8400000000000002E-2</v>
      </c>
      <c r="AS18" s="12" t="s">
        <v>1037</v>
      </c>
      <c r="AT18" s="5" t="s">
        <v>112</v>
      </c>
      <c r="AU18" s="14">
        <v>2.07E-2</v>
      </c>
      <c r="AV18" s="26" t="s">
        <v>346</v>
      </c>
      <c r="AW18" s="4" t="s">
        <v>347</v>
      </c>
      <c r="AX18" s="22">
        <v>1.11E-2</v>
      </c>
      <c r="AY18" s="82" t="s">
        <v>398</v>
      </c>
      <c r="AZ18" s="82" t="s">
        <v>399</v>
      </c>
      <c r="BA18" s="73">
        <v>2.29E-2</v>
      </c>
      <c r="BB18" s="5" t="s">
        <v>380</v>
      </c>
      <c r="BC18" s="5" t="s">
        <v>381</v>
      </c>
      <c r="BD18" s="21">
        <v>1.01E-2</v>
      </c>
      <c r="BE18" s="11" t="s">
        <v>223</v>
      </c>
      <c r="BF18" s="11" t="s">
        <v>1038</v>
      </c>
      <c r="BG18" s="73">
        <v>2.8299999999999999E-2</v>
      </c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</row>
    <row r="19" spans="1:71" x14ac:dyDescent="0.2">
      <c r="A19" s="5" t="s">
        <v>1034</v>
      </c>
      <c r="B19" s="14">
        <v>0.08</v>
      </c>
      <c r="C19" s="12" t="s">
        <v>1027</v>
      </c>
      <c r="D19" s="12" t="s">
        <v>1028</v>
      </c>
      <c r="E19" s="3">
        <v>7.9799999999999996E-2</v>
      </c>
      <c r="F19" s="12" t="s">
        <v>283</v>
      </c>
      <c r="G19" s="5" t="s">
        <v>284</v>
      </c>
      <c r="H19" s="14">
        <v>8.6499999999999994E-2</v>
      </c>
      <c r="I19" s="12" t="s">
        <v>269</v>
      </c>
      <c r="J19" s="5" t="s">
        <v>270</v>
      </c>
      <c r="K19" s="3">
        <v>8.6599999999999996E-2</v>
      </c>
      <c r="L19" s="26" t="s">
        <v>300</v>
      </c>
      <c r="M19" s="4" t="s">
        <v>301</v>
      </c>
      <c r="N19" s="3">
        <v>8.6599999999999996E-2</v>
      </c>
      <c r="O19" s="12" t="s">
        <v>304</v>
      </c>
      <c r="P19" s="5" t="s">
        <v>305</v>
      </c>
      <c r="Q19" s="3">
        <v>2.6700000000000002E-2</v>
      </c>
      <c r="R19" s="15" t="s">
        <v>364</v>
      </c>
      <c r="S19" s="9" t="s">
        <v>365</v>
      </c>
      <c r="T19" s="3">
        <v>5.1499999999999997E-2</v>
      </c>
      <c r="U19" s="107" t="s">
        <v>320</v>
      </c>
      <c r="V19" s="106" t="s">
        <v>321</v>
      </c>
      <c r="W19" s="14">
        <v>5.0999999999999997E-2</v>
      </c>
      <c r="X19" s="12" t="s">
        <v>1016</v>
      </c>
      <c r="Y19" s="5" t="s">
        <v>99</v>
      </c>
      <c r="Z19" s="3">
        <v>5.0000000000000001E-3</v>
      </c>
      <c r="AA19" s="12" t="s">
        <v>1016</v>
      </c>
      <c r="AB19" s="5" t="s">
        <v>99</v>
      </c>
      <c r="AC19" s="3">
        <v>5.0000000000000001E-3</v>
      </c>
      <c r="AD19" s="12" t="s">
        <v>308</v>
      </c>
      <c r="AE19" s="5" t="s">
        <v>309</v>
      </c>
      <c r="AF19" s="3">
        <v>2.8199999999999999E-2</v>
      </c>
      <c r="AG19" s="12" t="s">
        <v>182</v>
      </c>
      <c r="AH19" s="5" t="s">
        <v>183</v>
      </c>
      <c r="AI19" s="3">
        <v>2.81E-2</v>
      </c>
      <c r="AJ19" s="5" t="s">
        <v>328</v>
      </c>
      <c r="AK19" s="5" t="s">
        <v>329</v>
      </c>
      <c r="AL19" s="14">
        <v>5.1499999999999997E-2</v>
      </c>
      <c r="AM19" s="12" t="s">
        <v>344</v>
      </c>
      <c r="AN19" s="5" t="s">
        <v>1039</v>
      </c>
      <c r="AO19" s="77">
        <v>2.4500000000000001E-2</v>
      </c>
      <c r="AP19" s="12" t="s">
        <v>110</v>
      </c>
      <c r="AQ19" s="5" t="s">
        <v>111</v>
      </c>
      <c r="AR19" s="14">
        <v>2.8400000000000002E-2</v>
      </c>
      <c r="AS19" s="12" t="s">
        <v>217</v>
      </c>
      <c r="AT19" s="5" t="s">
        <v>1040</v>
      </c>
      <c r="AU19" s="14">
        <v>3.2099999999999997E-2</v>
      </c>
      <c r="AV19" s="78" t="s">
        <v>217</v>
      </c>
      <c r="AW19" s="81" t="s">
        <v>112</v>
      </c>
      <c r="AX19" s="22">
        <v>2.0500000000000001E-2</v>
      </c>
      <c r="AY19" s="5" t="s">
        <v>1041</v>
      </c>
      <c r="AZ19" s="5" t="s">
        <v>169</v>
      </c>
      <c r="BA19" s="73">
        <v>2.29E-2</v>
      </c>
      <c r="BB19" s="5" t="s">
        <v>346</v>
      </c>
      <c r="BC19" s="5" t="s">
        <v>347</v>
      </c>
      <c r="BD19" s="21">
        <v>1.01E-2</v>
      </c>
      <c r="BE19" s="11" t="s">
        <v>225</v>
      </c>
      <c r="BF19" s="11" t="s">
        <v>1042</v>
      </c>
      <c r="BG19" s="73">
        <v>2.8299999999999999E-2</v>
      </c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</row>
    <row r="20" spans="1:71" x14ac:dyDescent="0.2">
      <c r="A20" s="5" t="s">
        <v>1030</v>
      </c>
      <c r="B20" s="14">
        <v>8.6499999999999994E-2</v>
      </c>
      <c r="C20" s="12" t="s">
        <v>1029</v>
      </c>
      <c r="D20" s="12" t="s">
        <v>1030</v>
      </c>
      <c r="E20" s="3">
        <v>8.6499999999999994E-2</v>
      </c>
      <c r="F20" s="12" t="s">
        <v>269</v>
      </c>
      <c r="G20" s="5" t="s">
        <v>270</v>
      </c>
      <c r="H20" s="14">
        <v>8.6499999999999994E-2</v>
      </c>
      <c r="I20" s="12" t="s">
        <v>300</v>
      </c>
      <c r="J20" s="5" t="s">
        <v>301</v>
      </c>
      <c r="K20" s="3">
        <v>8.6599999999999996E-2</v>
      </c>
      <c r="L20" s="26" t="s">
        <v>269</v>
      </c>
      <c r="M20" s="4" t="s">
        <v>270</v>
      </c>
      <c r="N20" s="3">
        <v>8.6599999999999996E-2</v>
      </c>
      <c r="O20" s="15" t="s">
        <v>300</v>
      </c>
      <c r="P20" s="9" t="s">
        <v>301</v>
      </c>
      <c r="Q20" s="3">
        <v>0.04</v>
      </c>
      <c r="R20" s="31" t="s">
        <v>320</v>
      </c>
      <c r="S20" s="33" t="s">
        <v>321</v>
      </c>
      <c r="T20" s="3">
        <v>5.1499999999999997E-2</v>
      </c>
      <c r="U20" s="43" t="s">
        <v>322</v>
      </c>
      <c r="V20" s="44" t="s">
        <v>323</v>
      </c>
      <c r="W20" s="14">
        <v>5.0999999999999997E-2</v>
      </c>
      <c r="X20" s="12" t="s">
        <v>1043</v>
      </c>
      <c r="Y20" s="5" t="s">
        <v>1043</v>
      </c>
      <c r="Z20" s="3">
        <v>7.4999999999999997E-2</v>
      </c>
      <c r="AA20" s="12" t="s">
        <v>1043</v>
      </c>
      <c r="AB20" s="5" t="s">
        <v>1043</v>
      </c>
      <c r="AC20" s="3">
        <v>7.4999999999999997E-2</v>
      </c>
      <c r="AD20" s="12" t="s">
        <v>1043</v>
      </c>
      <c r="AE20" s="5" t="s">
        <v>1043</v>
      </c>
      <c r="AF20" s="3">
        <v>5.0000000000000001E-4</v>
      </c>
      <c r="AG20" s="12" t="s">
        <v>1043</v>
      </c>
      <c r="AH20" s="5" t="s">
        <v>1043</v>
      </c>
      <c r="AI20" s="3">
        <v>5.0000000000000001E-4</v>
      </c>
      <c r="AJ20" s="5" t="s">
        <v>1043</v>
      </c>
      <c r="AK20" s="5" t="s">
        <v>1043</v>
      </c>
      <c r="AL20" s="14">
        <v>4.0000000000000002E-4</v>
      </c>
      <c r="AM20" s="12" t="s">
        <v>358</v>
      </c>
      <c r="AN20" s="5" t="s">
        <v>1044</v>
      </c>
      <c r="AO20" s="77">
        <v>2.4500000000000001E-2</v>
      </c>
      <c r="AP20" s="12" t="s">
        <v>217</v>
      </c>
      <c r="AQ20" s="5" t="s">
        <v>112</v>
      </c>
      <c r="AR20" s="14">
        <v>3.2099999999999997E-2</v>
      </c>
      <c r="AS20" s="12" t="s">
        <v>1041</v>
      </c>
      <c r="AT20" s="5" t="s">
        <v>169</v>
      </c>
      <c r="AU20" s="14">
        <v>3.6200000000000003E-2</v>
      </c>
      <c r="AV20" s="26" t="s">
        <v>398</v>
      </c>
      <c r="AW20" s="4" t="s">
        <v>399</v>
      </c>
      <c r="AX20" s="22">
        <v>2.76E-2</v>
      </c>
      <c r="AY20" s="5" t="s">
        <v>389</v>
      </c>
      <c r="AZ20" s="5" t="s">
        <v>390</v>
      </c>
      <c r="BA20" s="73">
        <v>3.8100000000000002E-2</v>
      </c>
      <c r="BB20" s="5" t="s">
        <v>369</v>
      </c>
      <c r="BC20" s="5" t="s">
        <v>370</v>
      </c>
      <c r="BD20" s="21">
        <v>1.35E-2</v>
      </c>
      <c r="BE20" s="11" t="s">
        <v>245</v>
      </c>
      <c r="BF20" s="11" t="s">
        <v>1045</v>
      </c>
      <c r="BG20" s="73">
        <v>2.8299999999999999E-2</v>
      </c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</row>
    <row r="21" spans="1:71" x14ac:dyDescent="0.2">
      <c r="A21" s="5" t="s">
        <v>1028</v>
      </c>
      <c r="B21" s="14">
        <v>8.6499999999999994E-2</v>
      </c>
      <c r="C21" s="12" t="s">
        <v>283</v>
      </c>
      <c r="D21" s="12" t="s">
        <v>284</v>
      </c>
      <c r="E21" s="3">
        <v>8.6499999999999994E-2</v>
      </c>
      <c r="F21" s="15" t="s">
        <v>1046</v>
      </c>
      <c r="G21" s="9" t="s">
        <v>1047</v>
      </c>
      <c r="H21" s="14">
        <v>6.9400000000000003E-2</v>
      </c>
      <c r="I21" s="15" t="s">
        <v>1048</v>
      </c>
      <c r="J21" s="9" t="s">
        <v>1049</v>
      </c>
      <c r="K21" s="3">
        <v>6.93E-2</v>
      </c>
      <c r="L21" s="111" t="s">
        <v>1050</v>
      </c>
      <c r="M21" s="112" t="s">
        <v>1051</v>
      </c>
      <c r="N21" s="3">
        <v>6.93E-2</v>
      </c>
      <c r="O21" s="15" t="s">
        <v>269</v>
      </c>
      <c r="P21" s="9" t="s">
        <v>270</v>
      </c>
      <c r="Q21" s="3">
        <v>0.04</v>
      </c>
      <c r="R21" s="12" t="s">
        <v>322</v>
      </c>
      <c r="S21" s="5" t="s">
        <v>323</v>
      </c>
      <c r="T21" s="3">
        <v>0.1</v>
      </c>
      <c r="U21" s="12" t="s">
        <v>354</v>
      </c>
      <c r="V21" s="5" t="s">
        <v>355</v>
      </c>
      <c r="W21" s="14">
        <v>0.1132</v>
      </c>
      <c r="X21" s="105" t="s">
        <v>665</v>
      </c>
      <c r="Y21" s="110" t="s">
        <v>666</v>
      </c>
      <c r="Z21" s="91">
        <f>SUM(Z2,Z8,Z14)</f>
        <v>1.4999999999999999E-2</v>
      </c>
      <c r="AA21" s="105" t="s">
        <v>665</v>
      </c>
      <c r="AB21" s="110" t="s">
        <v>666</v>
      </c>
      <c r="AC21" s="91">
        <f>SUM(AC2,AC8,AC14)</f>
        <v>1.4999999999999999E-2</v>
      </c>
      <c r="AD21" s="105" t="s">
        <v>665</v>
      </c>
      <c r="AE21" s="110" t="s">
        <v>666</v>
      </c>
      <c r="AF21" s="91">
        <f>SUM(AF2,AF8,AF14)</f>
        <v>1.4999999999999999E-2</v>
      </c>
      <c r="AG21" s="105" t="s">
        <v>665</v>
      </c>
      <c r="AH21" s="110" t="s">
        <v>666</v>
      </c>
      <c r="AI21" s="91">
        <f>SUM(AI2,AI8,AI14)</f>
        <v>1.4999999999999999E-2</v>
      </c>
      <c r="AJ21" s="105" t="s">
        <v>665</v>
      </c>
      <c r="AK21" s="110" t="s">
        <v>666</v>
      </c>
      <c r="AL21" s="91">
        <f>SUM(AL2,AL8,AL14)</f>
        <v>1.3899999999999999E-2</v>
      </c>
      <c r="AM21" s="5" t="s">
        <v>25</v>
      </c>
      <c r="AN21" s="5" t="s">
        <v>26</v>
      </c>
      <c r="AO21" s="77">
        <v>8.5000000000000006E-3</v>
      </c>
      <c r="AP21" s="83" t="s">
        <v>131</v>
      </c>
      <c r="AQ21" s="82" t="s">
        <v>132</v>
      </c>
      <c r="AR21" s="14">
        <v>5.96E-2</v>
      </c>
      <c r="AS21" s="83" t="s">
        <v>133</v>
      </c>
      <c r="AT21" s="82" t="s">
        <v>134</v>
      </c>
      <c r="AU21" s="14">
        <v>5.0500000000000003E-2</v>
      </c>
      <c r="AV21" s="26" t="s">
        <v>1041</v>
      </c>
      <c r="AW21" s="4" t="s">
        <v>169</v>
      </c>
      <c r="AX21" s="22">
        <v>2.76E-2</v>
      </c>
      <c r="AY21" s="5" t="s">
        <v>412</v>
      </c>
      <c r="AZ21" s="5" t="s">
        <v>430</v>
      </c>
      <c r="BA21" s="73">
        <v>4.5699999999999998E-2</v>
      </c>
      <c r="BB21" s="5" t="s">
        <v>371</v>
      </c>
      <c r="BC21" s="5" t="s">
        <v>372</v>
      </c>
      <c r="BD21" s="21">
        <v>1.35E-2</v>
      </c>
      <c r="BE21" s="5" t="s">
        <v>316</v>
      </c>
      <c r="BF21" s="5" t="s">
        <v>317</v>
      </c>
      <c r="BG21" s="73">
        <v>3.5400000000000001E-2</v>
      </c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</row>
    <row r="22" spans="1:71" x14ac:dyDescent="0.2">
      <c r="A22" s="9" t="s">
        <v>1052</v>
      </c>
      <c r="B22" s="14">
        <v>6.9400000000000003E-2</v>
      </c>
      <c r="C22" s="15" t="s">
        <v>1053</v>
      </c>
      <c r="D22" s="15" t="s">
        <v>1054</v>
      </c>
      <c r="E22" s="25">
        <v>6.93E-2</v>
      </c>
      <c r="F22" s="12" t="s">
        <v>1048</v>
      </c>
      <c r="G22" s="5" t="s">
        <v>1049</v>
      </c>
      <c r="H22" s="14">
        <v>0.1022</v>
      </c>
      <c r="I22" s="12" t="s">
        <v>1050</v>
      </c>
      <c r="J22" s="5" t="s">
        <v>1051</v>
      </c>
      <c r="K22" s="3">
        <v>0.1022</v>
      </c>
      <c r="L22" s="109" t="s">
        <v>1055</v>
      </c>
      <c r="M22" s="108" t="s">
        <v>1056</v>
      </c>
      <c r="N22" s="3">
        <v>0.1022</v>
      </c>
      <c r="O22" s="12" t="s">
        <v>364</v>
      </c>
      <c r="P22" s="5" t="s">
        <v>365</v>
      </c>
      <c r="Q22" s="3">
        <v>7.7600000000000002E-2</v>
      </c>
      <c r="R22" s="12" t="s">
        <v>354</v>
      </c>
      <c r="S22" s="5" t="s">
        <v>355</v>
      </c>
      <c r="T22" s="3">
        <v>0.1</v>
      </c>
      <c r="U22" s="12" t="s">
        <v>356</v>
      </c>
      <c r="V22" s="5" t="s">
        <v>357</v>
      </c>
      <c r="W22" s="14">
        <v>0.1132</v>
      </c>
      <c r="X22" s="105" t="s">
        <v>681</v>
      </c>
      <c r="Y22" s="104" t="s">
        <v>682</v>
      </c>
      <c r="Z22" s="91">
        <f>SUM(Z3:Z6,Z9:Z12,Z15:Z18)</f>
        <v>0.89490000000000003</v>
      </c>
      <c r="AA22" s="104" t="s">
        <v>681</v>
      </c>
      <c r="AB22" s="104" t="s">
        <v>682</v>
      </c>
      <c r="AC22" s="91">
        <f>SUM(AC3:AC6,AC9:AC12,AC15:AC18)</f>
        <v>0.89490000000000003</v>
      </c>
      <c r="AD22" s="104" t="s">
        <v>681</v>
      </c>
      <c r="AE22" s="104" t="s">
        <v>682</v>
      </c>
      <c r="AF22" s="91">
        <f>SUM(AF3:AF6,AF9:AF12,AF15:AF18)</f>
        <v>0.90000000000000013</v>
      </c>
      <c r="AG22" s="104" t="s">
        <v>681</v>
      </c>
      <c r="AH22" s="104" t="s">
        <v>682</v>
      </c>
      <c r="AI22" s="91">
        <f>SUM(AI3:AI6,AI9:AI12,AI15:AI18)</f>
        <v>0.90000000000000013</v>
      </c>
      <c r="AJ22" s="104" t="s">
        <v>681</v>
      </c>
      <c r="AK22" s="104" t="s">
        <v>682</v>
      </c>
      <c r="AL22" s="91">
        <f>SUM(AL3:AL6,AL9:AL12,AL15:AL18)</f>
        <v>0.85010000000000008</v>
      </c>
      <c r="AM22" s="5" t="s">
        <v>83</v>
      </c>
      <c r="AN22" s="5" t="s">
        <v>84</v>
      </c>
      <c r="AO22" s="77">
        <v>1.43E-2</v>
      </c>
      <c r="AP22" s="15" t="s">
        <v>184</v>
      </c>
      <c r="AQ22" s="9" t="s">
        <v>185</v>
      </c>
      <c r="AR22" s="14">
        <v>8.72E-2</v>
      </c>
      <c r="AS22" s="12" t="s">
        <v>1057</v>
      </c>
      <c r="AT22" s="5" t="s">
        <v>135</v>
      </c>
      <c r="AU22" s="14">
        <v>5.0500000000000003E-2</v>
      </c>
      <c r="AV22" s="26" t="s">
        <v>389</v>
      </c>
      <c r="AW22" s="4" t="s">
        <v>390</v>
      </c>
      <c r="AX22" s="22">
        <v>3.1199999999999999E-2</v>
      </c>
      <c r="AY22" s="82" t="s">
        <v>461</v>
      </c>
      <c r="AZ22" s="82" t="s">
        <v>462</v>
      </c>
      <c r="BA22" s="73">
        <v>4.9500000000000002E-2</v>
      </c>
      <c r="BB22" s="82" t="s">
        <v>1041</v>
      </c>
      <c r="BC22" s="82" t="s">
        <v>169</v>
      </c>
      <c r="BD22" s="21">
        <v>2.69E-2</v>
      </c>
      <c r="BE22" s="5" t="s">
        <v>334</v>
      </c>
      <c r="BF22" s="5" t="s">
        <v>335</v>
      </c>
      <c r="BG22" s="73">
        <v>3.5400000000000001E-2</v>
      </c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</row>
    <row r="23" spans="1:71" x14ac:dyDescent="0.2">
      <c r="A23" s="5" t="s">
        <v>1054</v>
      </c>
      <c r="B23" s="14">
        <v>0.1022</v>
      </c>
      <c r="C23" s="12" t="s">
        <v>1046</v>
      </c>
      <c r="D23" s="12" t="s">
        <v>1047</v>
      </c>
      <c r="E23" s="3">
        <v>0.1022</v>
      </c>
      <c r="F23" s="12" t="s">
        <v>1050</v>
      </c>
      <c r="G23" s="5" t="s">
        <v>1051</v>
      </c>
      <c r="H23" s="14">
        <v>0.1177</v>
      </c>
      <c r="I23" s="12" t="s">
        <v>1058</v>
      </c>
      <c r="J23" s="5" t="s">
        <v>1059</v>
      </c>
      <c r="K23" s="3">
        <v>0.1178</v>
      </c>
      <c r="L23" s="26" t="s">
        <v>1060</v>
      </c>
      <c r="M23" s="4" t="s">
        <v>1061</v>
      </c>
      <c r="N23" s="3">
        <v>0.1178</v>
      </c>
      <c r="O23" s="31" t="s">
        <v>320</v>
      </c>
      <c r="P23" s="33" t="s">
        <v>321</v>
      </c>
      <c r="Q23" s="3">
        <v>7.7600000000000002E-2</v>
      </c>
      <c r="R23" s="15" t="s">
        <v>1062</v>
      </c>
      <c r="S23" s="9" t="s">
        <v>1063</v>
      </c>
      <c r="T23" s="3">
        <v>8.6499999999999994E-2</v>
      </c>
      <c r="U23" s="107" t="s">
        <v>1055</v>
      </c>
      <c r="V23" s="106" t="s">
        <v>1056</v>
      </c>
      <c r="W23" s="14">
        <v>8.7999999999999995E-2</v>
      </c>
      <c r="X23" s="105" t="s">
        <v>696</v>
      </c>
      <c r="Y23" s="104" t="s">
        <v>697</v>
      </c>
      <c r="Z23" s="91">
        <f>SUM(Z7,Z13,Z19)</f>
        <v>1.4999999999999999E-2</v>
      </c>
      <c r="AA23" s="104" t="s">
        <v>696</v>
      </c>
      <c r="AB23" s="104" t="s">
        <v>697</v>
      </c>
      <c r="AC23" s="91">
        <f>SUM(AC7,AC13,AC19)</f>
        <v>1.4999999999999999E-2</v>
      </c>
      <c r="AD23" s="104" t="s">
        <v>696</v>
      </c>
      <c r="AE23" s="104" t="s">
        <v>697</v>
      </c>
      <c r="AF23" s="91">
        <f>SUM(AF7,AF13,AF19)</f>
        <v>8.4599999999999995E-2</v>
      </c>
      <c r="AG23" s="104" t="s">
        <v>696</v>
      </c>
      <c r="AH23" s="104" t="s">
        <v>697</v>
      </c>
      <c r="AI23" s="91">
        <f>SUM(AI7,AI13,AI19)</f>
        <v>8.43E-2</v>
      </c>
      <c r="AJ23" s="104" t="s">
        <v>696</v>
      </c>
      <c r="AK23" s="104" t="s">
        <v>697</v>
      </c>
      <c r="AL23" s="91">
        <f>SUM(AL7,AL13,AL19)</f>
        <v>0.1361</v>
      </c>
      <c r="AM23" s="5" t="s">
        <v>110</v>
      </c>
      <c r="AN23" s="5" t="s">
        <v>111</v>
      </c>
      <c r="AO23" s="77">
        <v>0.02</v>
      </c>
      <c r="AP23" s="12" t="s">
        <v>133</v>
      </c>
      <c r="AQ23" s="5" t="s">
        <v>134</v>
      </c>
      <c r="AR23" s="14">
        <v>8.72E-2</v>
      </c>
      <c r="AS23" s="12" t="s">
        <v>235</v>
      </c>
      <c r="AT23" s="5" t="s">
        <v>1064</v>
      </c>
      <c r="AU23" s="14">
        <v>9.8400000000000001E-2</v>
      </c>
      <c r="AV23" s="78" t="s">
        <v>235</v>
      </c>
      <c r="AW23" s="81" t="s">
        <v>135</v>
      </c>
      <c r="AX23" s="22">
        <v>5.79E-2</v>
      </c>
      <c r="AY23" s="5" t="s">
        <v>1065</v>
      </c>
      <c r="AZ23" s="5" t="s">
        <v>186</v>
      </c>
      <c r="BA23" s="73">
        <v>4.9500000000000002E-2</v>
      </c>
      <c r="BB23" s="5" t="s">
        <v>429</v>
      </c>
      <c r="BC23" s="5" t="s">
        <v>413</v>
      </c>
      <c r="BD23" s="21">
        <v>4.3799999999999999E-2</v>
      </c>
      <c r="BE23" s="5" t="s">
        <v>348</v>
      </c>
      <c r="BF23" s="5" t="s">
        <v>349</v>
      </c>
      <c r="BG23" s="73">
        <v>3.5400000000000001E-2</v>
      </c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</row>
    <row r="24" spans="1:71" x14ac:dyDescent="0.2">
      <c r="A24" s="5" t="s">
        <v>1049</v>
      </c>
      <c r="B24" s="14">
        <v>0.1177</v>
      </c>
      <c r="C24" s="12" t="s">
        <v>1048</v>
      </c>
      <c r="D24" s="12" t="s">
        <v>1049</v>
      </c>
      <c r="E24" s="3">
        <v>0.1176</v>
      </c>
      <c r="F24" s="12" t="s">
        <v>1058</v>
      </c>
      <c r="G24" s="5" t="s">
        <v>1059</v>
      </c>
      <c r="H24" s="14">
        <v>0.1177</v>
      </c>
      <c r="I24" s="12" t="s">
        <v>1060</v>
      </c>
      <c r="J24" s="5" t="s">
        <v>1061</v>
      </c>
      <c r="K24" s="3">
        <v>0.1178</v>
      </c>
      <c r="L24" s="26" t="s">
        <v>1058</v>
      </c>
      <c r="M24" s="4" t="s">
        <v>1059</v>
      </c>
      <c r="N24" s="3">
        <v>0.1178</v>
      </c>
      <c r="O24" s="12" t="s">
        <v>322</v>
      </c>
      <c r="P24" s="5" t="s">
        <v>323</v>
      </c>
      <c r="Q24" s="3">
        <v>7.7600000000000002E-2</v>
      </c>
      <c r="R24" s="31" t="s">
        <v>1055</v>
      </c>
      <c r="S24" s="33" t="s">
        <v>1056</v>
      </c>
      <c r="T24" s="3">
        <v>8.6499999999999994E-2</v>
      </c>
      <c r="U24" s="43" t="s">
        <v>1066</v>
      </c>
      <c r="V24" s="44" t="s">
        <v>1067</v>
      </c>
      <c r="W24" s="14">
        <v>8.7999999999999995E-2</v>
      </c>
      <c r="X24" s="105" t="s">
        <v>931</v>
      </c>
      <c r="Y24" s="104" t="s">
        <v>1043</v>
      </c>
      <c r="Z24" s="70">
        <f>Z20</f>
        <v>7.4999999999999997E-2</v>
      </c>
      <c r="AA24" s="104" t="s">
        <v>931</v>
      </c>
      <c r="AB24" s="104" t="s">
        <v>1043</v>
      </c>
      <c r="AC24" s="70">
        <f>AC20</f>
        <v>7.4999999999999997E-2</v>
      </c>
      <c r="AD24" s="104" t="s">
        <v>931</v>
      </c>
      <c r="AE24" s="104" t="s">
        <v>1043</v>
      </c>
      <c r="AF24" s="70">
        <f>AF20</f>
        <v>5.0000000000000001E-4</v>
      </c>
      <c r="AG24" s="104" t="s">
        <v>931</v>
      </c>
      <c r="AH24" s="104" t="s">
        <v>1043</v>
      </c>
      <c r="AI24" s="70">
        <f>AI20</f>
        <v>5.0000000000000001E-4</v>
      </c>
      <c r="AJ24" s="104" t="s">
        <v>931</v>
      </c>
      <c r="AK24" s="104" t="s">
        <v>1043</v>
      </c>
      <c r="AL24" s="70">
        <f>AL20</f>
        <v>4.0000000000000002E-4</v>
      </c>
      <c r="AM24" s="5" t="s">
        <v>133</v>
      </c>
      <c r="AN24" s="5" t="s">
        <v>134</v>
      </c>
      <c r="AO24" s="77">
        <v>8.8999999999999996E-2</v>
      </c>
      <c r="AP24" s="12" t="s">
        <v>235</v>
      </c>
      <c r="AQ24" s="5" t="s">
        <v>135</v>
      </c>
      <c r="AR24" s="14">
        <v>9.6299999999999997E-2</v>
      </c>
      <c r="AS24" s="12" t="s">
        <v>1065</v>
      </c>
      <c r="AT24" s="5" t="s">
        <v>186</v>
      </c>
      <c r="AU24" s="14">
        <v>0.1087</v>
      </c>
      <c r="AV24" s="26" t="s">
        <v>461</v>
      </c>
      <c r="AW24" s="4" t="s">
        <v>462</v>
      </c>
      <c r="AX24" s="22">
        <v>8.4599999999999995E-2</v>
      </c>
      <c r="AY24" s="5" t="s">
        <v>445</v>
      </c>
      <c r="AZ24" s="5" t="s">
        <v>446</v>
      </c>
      <c r="BA24" s="73">
        <v>9.5200000000000007E-2</v>
      </c>
      <c r="BB24" s="5" t="s">
        <v>389</v>
      </c>
      <c r="BC24" s="5" t="s">
        <v>390</v>
      </c>
      <c r="BD24" s="21">
        <v>4.3799999999999999E-2</v>
      </c>
      <c r="BE24" s="82" t="s">
        <v>380</v>
      </c>
      <c r="BF24" s="82" t="s">
        <v>1068</v>
      </c>
      <c r="BG24" s="21">
        <v>1.55E-2</v>
      </c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</row>
    <row r="25" spans="1:71" x14ac:dyDescent="0.2">
      <c r="A25" s="5" t="s">
        <v>1047</v>
      </c>
      <c r="B25" s="14">
        <v>0.1177</v>
      </c>
      <c r="C25" s="12" t="s">
        <v>1050</v>
      </c>
      <c r="D25" s="12" t="s">
        <v>1051</v>
      </c>
      <c r="E25" s="3">
        <v>0.1176</v>
      </c>
      <c r="F25" s="105" t="s">
        <v>665</v>
      </c>
      <c r="G25" s="110" t="s">
        <v>666</v>
      </c>
      <c r="H25" s="91">
        <f>SUM(H2:H5)</f>
        <v>2.6000000000000002E-2</v>
      </c>
      <c r="I25" s="105" t="s">
        <v>665</v>
      </c>
      <c r="J25" s="110" t="s">
        <v>666</v>
      </c>
      <c r="K25" s="91">
        <f>SUM(K2:K5)</f>
        <v>2.6000000000000002E-2</v>
      </c>
      <c r="L25" s="105" t="s">
        <v>665</v>
      </c>
      <c r="M25" s="110" t="s">
        <v>666</v>
      </c>
      <c r="N25" s="91">
        <f>SUM(N2:N5)</f>
        <v>2.6000000000000002E-2</v>
      </c>
      <c r="O25" s="9" t="s">
        <v>1060</v>
      </c>
      <c r="P25" s="9" t="s">
        <v>1061</v>
      </c>
      <c r="Q25" s="3">
        <v>6.9199999999999998E-2</v>
      </c>
      <c r="R25" s="12" t="s">
        <v>1066</v>
      </c>
      <c r="S25" s="5" t="s">
        <v>1067</v>
      </c>
      <c r="T25" s="3">
        <v>0.1135</v>
      </c>
      <c r="U25" s="12" t="s">
        <v>968</v>
      </c>
      <c r="V25" s="5" t="s">
        <v>969</v>
      </c>
      <c r="W25" s="14">
        <v>0.1019</v>
      </c>
      <c r="X25" s="65"/>
      <c r="Y25" s="61" t="s">
        <v>744</v>
      </c>
      <c r="Z25" s="74">
        <f>SUM(Z21:Z24)</f>
        <v>0.99990000000000001</v>
      </c>
      <c r="AA25" s="61"/>
      <c r="AB25" s="61" t="s">
        <v>744</v>
      </c>
      <c r="AC25" s="74">
        <f>SUM(AC21:AC24)</f>
        <v>0.99990000000000001</v>
      </c>
      <c r="AD25" s="61"/>
      <c r="AE25" s="61" t="s">
        <v>744</v>
      </c>
      <c r="AF25" s="74">
        <f>SUM(AF21:AF24)</f>
        <v>1.0001000000000002</v>
      </c>
      <c r="AG25" s="61"/>
      <c r="AH25" s="61" t="s">
        <v>744</v>
      </c>
      <c r="AI25" s="74">
        <f>SUM(AI21:AI24)</f>
        <v>0.99980000000000013</v>
      </c>
      <c r="AJ25" s="61"/>
      <c r="AK25" s="61" t="s">
        <v>744</v>
      </c>
      <c r="AL25" s="74">
        <f>SUM(AL21:AL24)</f>
        <v>1.0005000000000002</v>
      </c>
      <c r="AM25" s="5" t="s">
        <v>1069</v>
      </c>
      <c r="AN25" s="5" t="s">
        <v>1070</v>
      </c>
      <c r="AO25" s="77">
        <v>0.11020000000000001</v>
      </c>
      <c r="AP25" s="83" t="s">
        <v>1007</v>
      </c>
      <c r="AQ25" s="82" t="s">
        <v>1008</v>
      </c>
      <c r="AR25" s="14">
        <v>6.88E-2</v>
      </c>
      <c r="AS25" s="83" t="s">
        <v>1069</v>
      </c>
      <c r="AT25" s="82" t="s">
        <v>1070</v>
      </c>
      <c r="AU25" s="14">
        <v>6.2100000000000002E-2</v>
      </c>
      <c r="AV25" s="26" t="s">
        <v>1065</v>
      </c>
      <c r="AW25" s="4" t="s">
        <v>186</v>
      </c>
      <c r="AX25" s="22">
        <v>8.4599999999999995E-2</v>
      </c>
      <c r="AY25" s="5" t="s">
        <v>472</v>
      </c>
      <c r="AZ25" s="5" t="s">
        <v>473</v>
      </c>
      <c r="BA25" s="73">
        <v>0.1048</v>
      </c>
      <c r="BB25" s="5" t="s">
        <v>412</v>
      </c>
      <c r="BC25" s="5" t="s">
        <v>430</v>
      </c>
      <c r="BD25" s="21">
        <v>5.0500000000000003E-2</v>
      </c>
      <c r="BE25" s="5" t="s">
        <v>346</v>
      </c>
      <c r="BF25" s="5" t="s">
        <v>1071</v>
      </c>
      <c r="BG25" s="21">
        <v>1.14E-2</v>
      </c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</row>
    <row r="26" spans="1:71" x14ac:dyDescent="0.2">
      <c r="A26" s="110" t="s">
        <v>666</v>
      </c>
      <c r="B26" s="91">
        <f>SUM(B2:B5)</f>
        <v>2.6000000000000002E-2</v>
      </c>
      <c r="C26" s="105" t="s">
        <v>665</v>
      </c>
      <c r="D26" s="110" t="s">
        <v>666</v>
      </c>
      <c r="E26" s="91">
        <f>SUM(E2:E5)</f>
        <v>2.6000000000000002E-2</v>
      </c>
      <c r="F26" s="105" t="s">
        <v>681</v>
      </c>
      <c r="G26" s="104" t="s">
        <v>682</v>
      </c>
      <c r="H26" s="91">
        <f>SUM(H9:H24)</f>
        <v>0.88500000000000012</v>
      </c>
      <c r="I26" s="105" t="s">
        <v>681</v>
      </c>
      <c r="J26" s="104" t="s">
        <v>682</v>
      </c>
      <c r="K26" s="91">
        <f>SUM(K9:K24)</f>
        <v>0.88500000000000001</v>
      </c>
      <c r="L26" s="105" t="s">
        <v>681</v>
      </c>
      <c r="M26" s="104" t="s">
        <v>682</v>
      </c>
      <c r="N26" s="91">
        <f>SUM(N9:N24)</f>
        <v>0.88500000000000001</v>
      </c>
      <c r="O26" s="9" t="s">
        <v>1058</v>
      </c>
      <c r="P26" s="9" t="s">
        <v>1059</v>
      </c>
      <c r="Q26" s="3">
        <v>6.9199999999999998E-2</v>
      </c>
      <c r="R26" s="12" t="s">
        <v>968</v>
      </c>
      <c r="S26" s="5" t="s">
        <v>969</v>
      </c>
      <c r="T26" s="3">
        <v>0.1135</v>
      </c>
      <c r="U26" s="12" t="s">
        <v>970</v>
      </c>
      <c r="V26" s="5" t="s">
        <v>971</v>
      </c>
      <c r="W26" s="14">
        <v>0.1019</v>
      </c>
      <c r="AM26" s="5" t="s">
        <v>312</v>
      </c>
      <c r="AN26" s="5" t="s">
        <v>1072</v>
      </c>
      <c r="AO26" s="77">
        <v>2.4500000000000001E-2</v>
      </c>
      <c r="AP26" s="15" t="s">
        <v>1035</v>
      </c>
      <c r="AQ26" s="9" t="s">
        <v>1036</v>
      </c>
      <c r="AR26" s="14">
        <v>0.1009</v>
      </c>
      <c r="AS26" s="12" t="s">
        <v>1073</v>
      </c>
      <c r="AT26" s="5" t="s">
        <v>1074</v>
      </c>
      <c r="AU26" s="14">
        <v>6.2100000000000002E-2</v>
      </c>
      <c r="AV26" s="26" t="s">
        <v>445</v>
      </c>
      <c r="AW26" s="4" t="s">
        <v>446</v>
      </c>
      <c r="AX26" s="22">
        <v>9.35E-2</v>
      </c>
      <c r="AY26" s="82" t="s">
        <v>1075</v>
      </c>
      <c r="AZ26" s="82" t="s">
        <v>1076</v>
      </c>
      <c r="BA26" s="73">
        <v>5.7099999999999998E-2</v>
      </c>
      <c r="BB26" s="5" t="s">
        <v>414</v>
      </c>
      <c r="BC26" s="5" t="s">
        <v>415</v>
      </c>
      <c r="BD26" s="21">
        <v>5.0500000000000003E-2</v>
      </c>
      <c r="BE26" s="5" t="s">
        <v>369</v>
      </c>
      <c r="BF26" s="5" t="s">
        <v>1077</v>
      </c>
      <c r="BG26" s="21">
        <v>1.3100000000000001E-2</v>
      </c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</row>
    <row r="27" spans="1:71" x14ac:dyDescent="0.2">
      <c r="A27" s="104" t="s">
        <v>682</v>
      </c>
      <c r="B27" s="91">
        <f>SUM(B10:B25)</f>
        <v>0.88500000000000001</v>
      </c>
      <c r="C27" s="105" t="s">
        <v>681</v>
      </c>
      <c r="D27" s="104" t="s">
        <v>682</v>
      </c>
      <c r="E27" s="91">
        <f>SUM(E10:E25)</f>
        <v>0.88460000000000005</v>
      </c>
      <c r="F27" s="105" t="s">
        <v>696</v>
      </c>
      <c r="G27" s="104" t="s">
        <v>697</v>
      </c>
      <c r="H27" s="91">
        <f>SUM(H6:H8)</f>
        <v>8.8999999999999996E-2</v>
      </c>
      <c r="I27" s="105" t="s">
        <v>696</v>
      </c>
      <c r="J27" s="104" t="s">
        <v>697</v>
      </c>
      <c r="K27" s="91">
        <f>SUM(K6:K8)</f>
        <v>8.8999999999999996E-2</v>
      </c>
      <c r="L27" s="105" t="s">
        <v>696</v>
      </c>
      <c r="M27" s="104" t="s">
        <v>697</v>
      </c>
      <c r="N27" s="91">
        <f>SUM(N6:N8)</f>
        <v>8.8999999999999996E-2</v>
      </c>
      <c r="O27" s="5" t="s">
        <v>1062</v>
      </c>
      <c r="P27" s="5" t="s">
        <v>1063</v>
      </c>
      <c r="Q27" s="3">
        <v>9.2200000000000004E-2</v>
      </c>
      <c r="R27" s="105" t="s">
        <v>665</v>
      </c>
      <c r="S27" s="110" t="s">
        <v>666</v>
      </c>
      <c r="T27" s="91">
        <f>SUM(T2:T5)</f>
        <v>2.4E-2</v>
      </c>
      <c r="U27" s="105" t="s">
        <v>665</v>
      </c>
      <c r="V27" s="110" t="s">
        <v>666</v>
      </c>
      <c r="W27" s="91">
        <f>SUM(W2:W5)</f>
        <v>2.4E-2</v>
      </c>
      <c r="AM27" s="5" t="s">
        <v>330</v>
      </c>
      <c r="AN27" s="5" t="s">
        <v>1078</v>
      </c>
      <c r="AO27" s="77">
        <v>2.4500000000000001E-2</v>
      </c>
      <c r="AP27" s="12" t="s">
        <v>1069</v>
      </c>
      <c r="AQ27" s="5" t="s">
        <v>1070</v>
      </c>
      <c r="AR27" s="14">
        <v>0.1009</v>
      </c>
      <c r="AS27" s="12" t="s">
        <v>1079</v>
      </c>
      <c r="AT27" s="5" t="s">
        <v>1080</v>
      </c>
      <c r="AU27" s="14">
        <v>0.1139</v>
      </c>
      <c r="AV27" s="78" t="s">
        <v>1079</v>
      </c>
      <c r="AW27" s="81" t="s">
        <v>1074</v>
      </c>
      <c r="AX27" s="22">
        <v>6.6799999999999998E-2</v>
      </c>
      <c r="AY27" s="5" t="s">
        <v>1081</v>
      </c>
      <c r="AZ27" s="5" t="s">
        <v>1082</v>
      </c>
      <c r="BA27" s="73">
        <v>5.7099999999999998E-2</v>
      </c>
      <c r="BB27" s="82" t="s">
        <v>1065</v>
      </c>
      <c r="BC27" s="82" t="s">
        <v>186</v>
      </c>
      <c r="BD27" s="21">
        <v>6.7299999999999999E-2</v>
      </c>
      <c r="BE27" s="5" t="s">
        <v>382</v>
      </c>
      <c r="BF27" s="5" t="s">
        <v>1083</v>
      </c>
      <c r="BG27" s="21">
        <v>1.1900000000000001E-2</v>
      </c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</row>
    <row r="28" spans="1:71" x14ac:dyDescent="0.2">
      <c r="A28" s="104" t="s">
        <v>697</v>
      </c>
      <c r="B28" s="91">
        <f>SUM(B6:B9)</f>
        <v>8.8999999999999996E-2</v>
      </c>
      <c r="C28" s="105" t="s">
        <v>696</v>
      </c>
      <c r="D28" s="104" t="s">
        <v>697</v>
      </c>
      <c r="E28" s="91">
        <f>SUM(E6:E9)</f>
        <v>8.9499999999999996E-2</v>
      </c>
      <c r="F28" s="65"/>
      <c r="G28" s="61" t="s">
        <v>744</v>
      </c>
      <c r="H28" s="74">
        <f>SUM(H25:H27)</f>
        <v>1.0000000000000002</v>
      </c>
      <c r="I28" s="65"/>
      <c r="J28" s="61" t="s">
        <v>744</v>
      </c>
      <c r="K28" s="74">
        <f>SUM(K25:K27)</f>
        <v>1</v>
      </c>
      <c r="L28" s="65"/>
      <c r="M28" s="61" t="s">
        <v>744</v>
      </c>
      <c r="N28" s="74">
        <f>SUM(N25:N27)</f>
        <v>1</v>
      </c>
      <c r="O28" s="33" t="s">
        <v>1055</v>
      </c>
      <c r="P28" s="33" t="s">
        <v>1056</v>
      </c>
      <c r="Q28" s="3">
        <v>9.2200000000000004E-2</v>
      </c>
      <c r="R28" s="105" t="s">
        <v>681</v>
      </c>
      <c r="S28" s="104" t="s">
        <v>682</v>
      </c>
      <c r="T28" s="91">
        <f>SUM(T11:T26)</f>
        <v>0.84600000000000009</v>
      </c>
      <c r="U28" s="105" t="s">
        <v>681</v>
      </c>
      <c r="V28" s="104" t="s">
        <v>682</v>
      </c>
      <c r="W28" s="91">
        <f>SUM(W11:W26)</f>
        <v>0.85079999999999989</v>
      </c>
      <c r="AM28" s="5" t="s">
        <v>1043</v>
      </c>
      <c r="AN28" s="5" t="s">
        <v>1043</v>
      </c>
      <c r="AO28" s="77">
        <v>4.0000000000000002E-4</v>
      </c>
      <c r="AP28" s="12" t="s">
        <v>1079</v>
      </c>
      <c r="AQ28" s="5" t="s">
        <v>1074</v>
      </c>
      <c r="AR28" s="14">
        <v>0.1147</v>
      </c>
      <c r="AS28" s="12" t="s">
        <v>1081</v>
      </c>
      <c r="AT28" s="5" t="s">
        <v>1082</v>
      </c>
      <c r="AU28" s="14">
        <v>0.1295</v>
      </c>
      <c r="AV28" s="26" t="s">
        <v>1075</v>
      </c>
      <c r="AW28" s="4" t="s">
        <v>1076</v>
      </c>
      <c r="AX28" s="22">
        <v>9.7900000000000001E-2</v>
      </c>
      <c r="AY28" s="5" t="s">
        <v>1084</v>
      </c>
      <c r="AZ28" s="5" t="s">
        <v>1085</v>
      </c>
      <c r="BA28" s="73">
        <v>0.1143</v>
      </c>
      <c r="BB28" s="5" t="s">
        <v>492</v>
      </c>
      <c r="BC28" s="5" t="s">
        <v>493</v>
      </c>
      <c r="BD28" s="21">
        <v>9.2600000000000002E-2</v>
      </c>
      <c r="BE28" s="5" t="s">
        <v>371</v>
      </c>
      <c r="BF28" s="5" t="s">
        <v>1086</v>
      </c>
      <c r="BG28" s="21">
        <v>1.0800000000000001E-2</v>
      </c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</row>
    <row r="29" spans="1:71" x14ac:dyDescent="0.2">
      <c r="A29" s="65"/>
      <c r="B29" s="65"/>
      <c r="C29" s="65"/>
      <c r="D29" s="61" t="s">
        <v>744</v>
      </c>
      <c r="E29" s="74">
        <f>SUM(E26:E28)</f>
        <v>1.0001</v>
      </c>
      <c r="O29" s="5" t="s">
        <v>1066</v>
      </c>
      <c r="P29" s="5" t="s">
        <v>1067</v>
      </c>
      <c r="Q29" s="3">
        <v>9.2200000000000004E-2</v>
      </c>
      <c r="R29" s="105" t="s">
        <v>696</v>
      </c>
      <c r="S29" s="104" t="s">
        <v>697</v>
      </c>
      <c r="T29" s="91">
        <f>SUM(T6:T10)</f>
        <v>0.13</v>
      </c>
      <c r="U29" s="105" t="s">
        <v>696</v>
      </c>
      <c r="V29" s="104" t="s">
        <v>697</v>
      </c>
      <c r="W29" s="91">
        <f>SUM(W6:W10)</f>
        <v>0.125</v>
      </c>
      <c r="AM29" s="105" t="s">
        <v>665</v>
      </c>
      <c r="AN29" s="110" t="s">
        <v>666</v>
      </c>
      <c r="AO29" s="91">
        <f>SUM(AO2,AO7,AO14,AO21)</f>
        <v>1.9E-2</v>
      </c>
      <c r="AP29" s="5" t="s">
        <v>1043</v>
      </c>
      <c r="AQ29" s="5" t="s">
        <v>1087</v>
      </c>
      <c r="AR29" s="14">
        <v>5.0000000000000001E-4</v>
      </c>
      <c r="AS29" s="83" t="s">
        <v>1043</v>
      </c>
      <c r="AT29" s="82" t="s">
        <v>1087</v>
      </c>
      <c r="AU29" s="14">
        <v>5.0000000000000001E-4</v>
      </c>
      <c r="AV29" s="26" t="s">
        <v>1081</v>
      </c>
      <c r="AW29" s="4" t="s">
        <v>1082</v>
      </c>
      <c r="AX29" s="22">
        <v>9.7900000000000001E-2</v>
      </c>
      <c r="AY29" s="5" t="s">
        <v>1088</v>
      </c>
      <c r="AZ29" s="5" t="s">
        <v>1089</v>
      </c>
      <c r="BA29" s="73">
        <v>0.1333</v>
      </c>
      <c r="BB29" s="5" t="s">
        <v>445</v>
      </c>
      <c r="BC29" s="5" t="s">
        <v>446</v>
      </c>
      <c r="BD29" s="21">
        <v>9.2600000000000002E-2</v>
      </c>
      <c r="BE29" s="5" t="s">
        <v>373</v>
      </c>
      <c r="BF29" s="5" t="s">
        <v>1090</v>
      </c>
      <c r="BG29" s="21">
        <v>1.7899999999999999E-2</v>
      </c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</row>
    <row r="30" spans="1:71" x14ac:dyDescent="0.2">
      <c r="O30" s="105" t="s">
        <v>665</v>
      </c>
      <c r="P30" s="110" t="s">
        <v>666</v>
      </c>
      <c r="Q30" s="91">
        <f>SUM(Q2:Q6)</f>
        <v>2.5799999999999997E-2</v>
      </c>
      <c r="R30" s="65"/>
      <c r="S30" s="61" t="s">
        <v>744</v>
      </c>
      <c r="T30" s="74">
        <f>SUM(T27:T29)</f>
        <v>1</v>
      </c>
      <c r="U30" s="65"/>
      <c r="V30" s="61" t="s">
        <v>744</v>
      </c>
      <c r="W30" s="74">
        <f>SUM(W27:W29)</f>
        <v>0.99979999999999991</v>
      </c>
      <c r="AM30" s="104" t="s">
        <v>696</v>
      </c>
      <c r="AN30" s="104" t="s">
        <v>697</v>
      </c>
      <c r="AO30" s="70">
        <f>SUM(AO12,AO13,AO19:AO20,AO26:AO27)</f>
        <v>0.15579999999999999</v>
      </c>
      <c r="AP30" s="104" t="s">
        <v>681</v>
      </c>
      <c r="AQ30" s="104" t="s">
        <v>682</v>
      </c>
      <c r="AR30" s="125">
        <f>SUM(AR13:AR28)</f>
        <v>0.86009999999999998</v>
      </c>
      <c r="AS30" s="104" t="s">
        <v>681</v>
      </c>
      <c r="AT30" s="104" t="s">
        <v>682</v>
      </c>
      <c r="AU30" s="125">
        <f>SUM(AU13:AU28)</f>
        <v>0.82240000000000002</v>
      </c>
      <c r="AV30" s="104" t="s">
        <v>665</v>
      </c>
      <c r="AW30" s="110" t="s">
        <v>666</v>
      </c>
      <c r="AX30" s="70">
        <f>SUM(AX2:AX5)</f>
        <v>2.3599999999999996E-2</v>
      </c>
      <c r="AY30" s="104" t="s">
        <v>681</v>
      </c>
      <c r="AZ30" s="104" t="s">
        <v>682</v>
      </c>
      <c r="BA30" s="91">
        <v>0.83050000000000002</v>
      </c>
      <c r="BB30" s="5" t="s">
        <v>474</v>
      </c>
      <c r="BC30" s="5" t="s">
        <v>475</v>
      </c>
      <c r="BD30" s="21">
        <v>0.10100000000000001</v>
      </c>
      <c r="BE30" s="5" t="s">
        <v>389</v>
      </c>
      <c r="BF30" s="5" t="s">
        <v>1091</v>
      </c>
      <c r="BG30" s="21">
        <v>1.6400000000000001E-2</v>
      </c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</row>
    <row r="31" spans="1:71" x14ac:dyDescent="0.2">
      <c r="O31" s="105" t="s">
        <v>681</v>
      </c>
      <c r="P31" s="104" t="s">
        <v>682</v>
      </c>
      <c r="Q31" s="91">
        <f>SUM(Q10:Q29)</f>
        <v>0.87390000000000012</v>
      </c>
      <c r="AM31" s="104" t="s">
        <v>931</v>
      </c>
      <c r="AN31" s="104" t="s">
        <v>1043</v>
      </c>
      <c r="AO31" s="70">
        <f>AO28</f>
        <v>4.0000000000000002E-4</v>
      </c>
      <c r="AP31" s="104" t="s">
        <v>696</v>
      </c>
      <c r="AQ31" s="104" t="s">
        <v>697</v>
      </c>
      <c r="AR31" s="70">
        <f>SUM(AR6:AR12)</f>
        <v>0.11550000000000001</v>
      </c>
      <c r="AS31" s="104" t="s">
        <v>696</v>
      </c>
      <c r="AT31" s="104" t="s">
        <v>697</v>
      </c>
      <c r="AU31" s="70">
        <f>SUM(AU6:AU12)</f>
        <v>0.15190000000000001</v>
      </c>
      <c r="AV31" s="104" t="s">
        <v>681</v>
      </c>
      <c r="AW31" s="104" t="s">
        <v>682</v>
      </c>
      <c r="AX31" s="125">
        <f>SUM(AX15:AX29)</f>
        <v>0.72389999999999999</v>
      </c>
      <c r="AY31" s="104" t="s">
        <v>696</v>
      </c>
      <c r="AZ31" s="104" t="s">
        <v>697</v>
      </c>
      <c r="BA31" s="91">
        <v>0.14630000000000001</v>
      </c>
      <c r="BB31" s="82" t="s">
        <v>1081</v>
      </c>
      <c r="BC31" s="82" t="s">
        <v>1082</v>
      </c>
      <c r="BD31" s="21">
        <v>8.4199999999999997E-2</v>
      </c>
      <c r="BE31" s="5" t="s">
        <v>412</v>
      </c>
      <c r="BF31" s="5" t="s">
        <v>1092</v>
      </c>
      <c r="BG31" s="73">
        <v>1.89E-2</v>
      </c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</row>
    <row r="32" spans="1:71" x14ac:dyDescent="0.2">
      <c r="O32" s="105" t="s">
        <v>696</v>
      </c>
      <c r="P32" s="104" t="s">
        <v>697</v>
      </c>
      <c r="Q32" s="91">
        <f>SUM(Q7:Q9)</f>
        <v>0.10050000000000001</v>
      </c>
      <c r="AM32" s="61"/>
      <c r="AN32" s="61" t="s">
        <v>744</v>
      </c>
      <c r="AO32" s="74">
        <f>SUM(AO29:AO31)</f>
        <v>0.17519999999999999</v>
      </c>
      <c r="AP32" s="104" t="s">
        <v>931</v>
      </c>
      <c r="AQ32" s="104" t="s">
        <v>1043</v>
      </c>
      <c r="AR32" s="70">
        <f>AR29</f>
        <v>5.0000000000000001E-4</v>
      </c>
      <c r="AS32" s="104" t="s">
        <v>931</v>
      </c>
      <c r="AT32" s="104" t="s">
        <v>1043</v>
      </c>
      <c r="AU32" s="70">
        <f>AU29</f>
        <v>5.0000000000000001E-4</v>
      </c>
      <c r="AV32" s="104" t="s">
        <v>696</v>
      </c>
      <c r="AW32" s="104" t="s">
        <v>697</v>
      </c>
      <c r="AX32" s="70">
        <f>SUM(AX6:AX14)</f>
        <v>0.14140000000000003</v>
      </c>
      <c r="AY32" s="61"/>
      <c r="AZ32" s="61" t="s">
        <v>744</v>
      </c>
      <c r="BA32" s="74">
        <f>SUM(BA30:BA31)</f>
        <v>0.9768</v>
      </c>
      <c r="BB32" s="2" t="s">
        <v>665</v>
      </c>
      <c r="BC32" s="2" t="s">
        <v>666</v>
      </c>
      <c r="BD32" s="124">
        <v>2.87E-2</v>
      </c>
      <c r="BE32" s="5" t="s">
        <v>431</v>
      </c>
      <c r="BF32" s="5" t="s">
        <v>1093</v>
      </c>
      <c r="BG32" s="73">
        <v>1.89E-2</v>
      </c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</row>
    <row r="33" spans="1:71" x14ac:dyDescent="0.2">
      <c r="O33" s="65"/>
      <c r="P33" s="61" t="s">
        <v>744</v>
      </c>
      <c r="Q33" s="74">
        <f>SUM(Q30:Q32)</f>
        <v>1.0002000000000002</v>
      </c>
      <c r="AP33" s="61"/>
      <c r="AQ33" s="61" t="s">
        <v>744</v>
      </c>
      <c r="AR33" s="74">
        <f>SUM(AR30:AR32)</f>
        <v>0.97609999999999997</v>
      </c>
      <c r="AS33" s="61"/>
      <c r="AT33" s="61" t="s">
        <v>744</v>
      </c>
      <c r="AU33" s="74">
        <f>SUM(AU30:AU32)</f>
        <v>0.9748</v>
      </c>
      <c r="AV33" s="61"/>
      <c r="AW33" s="61" t="s">
        <v>744</v>
      </c>
      <c r="AX33" s="74">
        <f>SUM(AX30:AX32)</f>
        <v>0.88890000000000002</v>
      </c>
      <c r="AY33" s="1"/>
      <c r="AZ33" s="1"/>
      <c r="BA33" s="1"/>
      <c r="BB33" s="2" t="s">
        <v>681</v>
      </c>
      <c r="BC33" s="2" t="s">
        <v>682</v>
      </c>
      <c r="BD33" s="113">
        <v>0.80969999999999998</v>
      </c>
      <c r="BE33" s="5" t="s">
        <v>414</v>
      </c>
      <c r="BF33" s="5" t="s">
        <v>1094</v>
      </c>
      <c r="BG33" s="73">
        <v>1.6500000000000001E-2</v>
      </c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</row>
    <row r="34" spans="1:71" x14ac:dyDescent="0.2"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2" t="s">
        <v>696</v>
      </c>
      <c r="BC34" s="2" t="s">
        <v>697</v>
      </c>
      <c r="BD34" s="113">
        <v>0.16159999999999999</v>
      </c>
      <c r="BE34" s="5" t="s">
        <v>416</v>
      </c>
      <c r="BF34" s="5" t="s">
        <v>1095</v>
      </c>
      <c r="BG34" s="73">
        <v>2.3599999999999999E-2</v>
      </c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</row>
    <row r="35" spans="1:7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61"/>
      <c r="BC35" s="61" t="s">
        <v>744</v>
      </c>
      <c r="BD35" s="74">
        <f>SUM(BD32:BD34)</f>
        <v>0.99999999999999989</v>
      </c>
      <c r="BE35" s="82" t="s">
        <v>492</v>
      </c>
      <c r="BF35" s="82" t="s">
        <v>1096</v>
      </c>
      <c r="BG35" s="73">
        <v>5.3100000000000001E-2</v>
      </c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</row>
    <row r="36" spans="1:7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5" t="s">
        <v>445</v>
      </c>
      <c r="BF36" s="5" t="s">
        <v>1097</v>
      </c>
      <c r="BG36" s="16">
        <v>4.4299999999999999E-2</v>
      </c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</row>
    <row r="37" spans="1:7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5" t="s">
        <v>472</v>
      </c>
      <c r="BF37" s="5" t="s">
        <v>1098</v>
      </c>
      <c r="BG37" s="16">
        <v>4.7199999999999999E-2</v>
      </c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</row>
    <row r="38" spans="1:7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5" t="s">
        <v>494</v>
      </c>
      <c r="BF38" s="5" t="s">
        <v>1099</v>
      </c>
      <c r="BG38" s="16">
        <v>4.7199999999999999E-2</v>
      </c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</row>
    <row r="39" spans="1:7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5" t="s">
        <v>474</v>
      </c>
      <c r="BF39" s="5" t="s">
        <v>1100</v>
      </c>
      <c r="BG39" s="16">
        <v>4.4299999999999999E-2</v>
      </c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</row>
    <row r="40" spans="1:7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5" t="s">
        <v>476</v>
      </c>
      <c r="BF40" s="5" t="s">
        <v>1101</v>
      </c>
      <c r="BG40" s="16">
        <v>5.3100000000000001E-2</v>
      </c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</row>
    <row r="41" spans="1:7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68" t="s">
        <v>665</v>
      </c>
      <c r="BF41" s="68" t="s">
        <v>666</v>
      </c>
      <c r="BG41" s="67">
        <v>4.0099999999999997E-2</v>
      </c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</row>
    <row r="42" spans="1:7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61" t="s">
        <v>681</v>
      </c>
      <c r="BF42" s="61" t="s">
        <v>682</v>
      </c>
      <c r="BG42" s="62">
        <v>0.48530000000000001</v>
      </c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</row>
    <row r="43" spans="1:7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61" t="s">
        <v>696</v>
      </c>
      <c r="BF43" s="61" t="s">
        <v>697</v>
      </c>
      <c r="BG43" s="62">
        <v>0.36830000000000002</v>
      </c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</row>
    <row r="44" spans="1:7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61" t="s">
        <v>807</v>
      </c>
      <c r="BF44" s="61" t="s">
        <v>808</v>
      </c>
      <c r="BG44" s="62">
        <v>0.1062</v>
      </c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</row>
    <row r="45" spans="1:7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61"/>
      <c r="BF45" s="61" t="s">
        <v>744</v>
      </c>
      <c r="BG45" s="74">
        <f>SUM(BG41:BG44)</f>
        <v>0.9998999999999999</v>
      </c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</row>
    <row r="46" spans="1:7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</row>
    <row r="47" spans="1:7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</row>
    <row r="48" spans="1:7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</row>
    <row r="49" spans="1:7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</row>
    <row r="50" spans="1:7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</row>
    <row r="51" spans="1:7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</row>
    <row r="52" spans="1:7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</row>
    <row r="53" spans="1:7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</row>
    <row r="54" spans="1:7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</row>
    <row r="55" spans="1:7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</row>
    <row r="56" spans="1:7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</row>
    <row r="57" spans="1:7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</row>
    <row r="58" spans="1:7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</row>
    <row r="59" spans="1:7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</row>
    <row r="60" spans="1:7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</row>
    <row r="61" spans="1:7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</row>
    <row r="62" spans="1:7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</row>
    <row r="63" spans="1:7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</row>
    <row r="64" spans="1:7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</row>
    <row r="65" spans="1:7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</row>
    <row r="66" spans="1:7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</row>
    <row r="67" spans="1:7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</row>
    <row r="68" spans="1:7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</row>
    <row r="69" spans="1:7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</row>
    <row r="70" spans="1:7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</row>
    <row r="71" spans="1:7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</row>
    <row r="72" spans="1:7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</row>
    <row r="73" spans="1:7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</row>
    <row r="74" spans="1:7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</row>
    <row r="75" spans="1:7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</row>
    <row r="76" spans="1:7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</row>
    <row r="77" spans="1:7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</row>
    <row r="78" spans="1:7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</row>
    <row r="79" spans="1:7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</row>
    <row r="80" spans="1:7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</row>
    <row r="81" spans="1:7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</row>
    <row r="82" spans="1:7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</row>
    <row r="83" spans="1:7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</row>
    <row r="84" spans="1:7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</row>
    <row r="85" spans="1:7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</row>
    <row r="86" spans="1:7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</row>
    <row r="87" spans="1:7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</row>
    <row r="88" spans="1:7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</row>
    <row r="89" spans="1:7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</row>
    <row r="90" spans="1:7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</row>
    <row r="91" spans="1:7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</row>
    <row r="92" spans="1:7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</row>
    <row r="93" spans="1:7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</row>
    <row r="94" spans="1:7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</row>
    <row r="95" spans="1:7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</row>
    <row r="96" spans="1:7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</row>
    <row r="97" spans="1:7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</row>
    <row r="98" spans="1:7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</row>
    <row r="99" spans="1:7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</row>
    <row r="100" spans="1:7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</row>
    <row r="101" spans="1:7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</row>
    <row r="102" spans="1:7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</row>
    <row r="103" spans="1:7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</row>
    <row r="104" spans="1:7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</row>
    <row r="105" spans="1:7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</row>
    <row r="106" spans="1:7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</row>
    <row r="107" spans="1:7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</row>
    <row r="108" spans="1:7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</row>
    <row r="109" spans="1:7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</row>
    <row r="110" spans="1:7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</row>
    <row r="111" spans="1:7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</row>
    <row r="112" spans="1:7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</row>
    <row r="113" spans="1:7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</row>
    <row r="114" spans="1:7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</row>
    <row r="115" spans="1:7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</row>
    <row r="116" spans="1:7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</row>
    <row r="117" spans="1:7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</row>
    <row r="118" spans="1:7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</row>
    <row r="119" spans="1:7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</row>
    <row r="120" spans="1:7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</row>
    <row r="121" spans="1:7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</row>
    <row r="122" spans="1:7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</row>
    <row r="123" spans="1:7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</row>
    <row r="124" spans="1:7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</row>
    <row r="125" spans="1:7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</row>
    <row r="126" spans="1:7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</row>
    <row r="127" spans="1:7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</row>
    <row r="128" spans="1:7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</row>
    <row r="129" spans="1:7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</row>
    <row r="130" spans="1:7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</row>
    <row r="131" spans="1:7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</row>
    <row r="132" spans="1:7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</row>
    <row r="133" spans="1:7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</row>
    <row r="134" spans="1:7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</row>
    <row r="135" spans="1:7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</row>
    <row r="136" spans="1:7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</row>
    <row r="137" spans="1:7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</row>
    <row r="138" spans="1:7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</row>
    <row r="139" spans="1:7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</row>
    <row r="140" spans="1:7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</row>
    <row r="141" spans="1:7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</row>
    <row r="142" spans="1:7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</row>
    <row r="143" spans="1:7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</row>
    <row r="144" spans="1:7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</row>
    <row r="145" spans="1:7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</row>
    <row r="146" spans="1:7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</row>
    <row r="147" spans="1:7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</row>
    <row r="148" spans="1:7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</row>
    <row r="149" spans="1:7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</row>
    <row r="150" spans="1:7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</row>
    <row r="151" spans="1:7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</row>
    <row r="152" spans="1:7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</row>
    <row r="153" spans="1:7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</row>
    <row r="154" spans="1:7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</row>
    <row r="155" spans="1:7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</row>
    <row r="156" spans="1:7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</row>
    <row r="157" spans="1:7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</row>
    <row r="158" spans="1:7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</row>
    <row r="159" spans="1:7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</row>
    <row r="160" spans="1:7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</row>
    <row r="161" spans="1:7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</row>
    <row r="162" spans="1:7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</row>
    <row r="163" spans="1:7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</row>
    <row r="164" spans="1:7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</row>
    <row r="165" spans="1:7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</row>
    <row r="166" spans="1:7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</row>
    <row r="167" spans="1:7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</row>
    <row r="168" spans="1:7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</row>
    <row r="169" spans="1:7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</row>
    <row r="170" spans="1:7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</row>
    <row r="171" spans="1:7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</row>
    <row r="172" spans="1:7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</row>
    <row r="173" spans="1:7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</row>
    <row r="174" spans="1:7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</row>
    <row r="175" spans="1:7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</row>
    <row r="176" spans="1:7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</row>
    <row r="177" spans="1:7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</row>
    <row r="178" spans="1:7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</row>
    <row r="179" spans="1:7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</row>
    <row r="180" spans="1:7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</row>
    <row r="181" spans="1:7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</row>
    <row r="182" spans="1:7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</row>
    <row r="183" spans="1:7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</row>
    <row r="184" spans="1:7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</row>
    <row r="185" spans="1:7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</row>
    <row r="186" spans="1:7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</row>
    <row r="187" spans="1:7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</row>
    <row r="188" spans="1:7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</row>
    <row r="189" spans="1:7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</row>
    <row r="190" spans="1:7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</row>
    <row r="191" spans="1:7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</row>
    <row r="192" spans="1:7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</row>
    <row r="193" spans="1:7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</row>
    <row r="194" spans="1:7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</row>
    <row r="195" spans="1:7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</row>
    <row r="196" spans="1:7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</row>
    <row r="197" spans="1:7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</row>
    <row r="198" spans="1:7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</row>
    <row r="199" spans="1:7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</row>
    <row r="200" spans="1:7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</row>
    <row r="201" spans="1:7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</row>
    <row r="202" spans="1:7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</row>
    <row r="203" spans="1:7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</row>
    <row r="204" spans="1:7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</row>
    <row r="205" spans="1:7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</row>
    <row r="206" spans="1:7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</row>
    <row r="207" spans="1:7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</row>
    <row r="208" spans="1:7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</row>
    <row r="209" spans="1:7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</row>
    <row r="210" spans="1:7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</row>
    <row r="211" spans="1:7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</row>
    <row r="212" spans="1:7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</row>
    <row r="213" spans="1:7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</row>
    <row r="214" spans="1:7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</row>
    <row r="215" spans="1:7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</row>
    <row r="216" spans="1:7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</row>
    <row r="217" spans="1:7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</row>
    <row r="218" spans="1:7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</row>
    <row r="219" spans="1:7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</row>
    <row r="220" spans="1:7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</row>
    <row r="221" spans="1:7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</row>
    <row r="222" spans="1:7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</row>
    <row r="223" spans="1:7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</row>
    <row r="224" spans="1:7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</row>
    <row r="225" spans="1:7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</row>
    <row r="226" spans="1:7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</row>
    <row r="227" spans="1:7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</row>
    <row r="228" spans="1:7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</row>
    <row r="229" spans="1:7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</row>
    <row r="230" spans="1:7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</row>
    <row r="231" spans="1:7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</row>
    <row r="232" spans="1:7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</row>
    <row r="233" spans="1:7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</row>
    <row r="234" spans="1:7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</row>
    <row r="235" spans="1:7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</row>
    <row r="236" spans="1:7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</row>
    <row r="237" spans="1:7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</row>
    <row r="238" spans="1:7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</row>
    <row r="239" spans="1:7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</row>
    <row r="240" spans="1:7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</row>
    <row r="241" spans="1:7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</row>
    <row r="242" spans="1:7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</row>
    <row r="243" spans="1:7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</row>
    <row r="244" spans="1:7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</row>
    <row r="245" spans="1:7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</row>
    <row r="246" spans="1:7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</row>
    <row r="247" spans="1:7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</row>
    <row r="248" spans="1:7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</row>
    <row r="249" spans="1:7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</row>
    <row r="250" spans="1:7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</row>
    <row r="251" spans="1:7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</row>
    <row r="252" spans="1:7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</row>
    <row r="253" spans="1:7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</row>
    <row r="254" spans="1:7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</row>
    <row r="255" spans="1:7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</row>
    <row r="256" spans="1:7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</row>
    <row r="257" spans="1:7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</row>
    <row r="258" spans="1:7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</row>
    <row r="259" spans="1:7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</row>
    <row r="260" spans="1:7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</row>
    <row r="261" spans="1:7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</row>
    <row r="262" spans="1:7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</row>
    <row r="263" spans="1:7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</row>
    <row r="264" spans="1:7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</row>
    <row r="265" spans="1:7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</row>
    <row r="266" spans="1:7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</row>
    <row r="267" spans="1:7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</row>
    <row r="268" spans="1:7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</row>
    <row r="269" spans="1:7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</row>
    <row r="270" spans="1:7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</row>
    <row r="271" spans="1:7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</row>
    <row r="272" spans="1:7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</row>
    <row r="273" spans="1:7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</row>
    <row r="274" spans="1:7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</row>
    <row r="275" spans="1:7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</row>
    <row r="276" spans="1:7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</row>
    <row r="277" spans="1:7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</row>
    <row r="278" spans="1:7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</row>
    <row r="279" spans="1:7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</row>
    <row r="280" spans="1:7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</row>
    <row r="281" spans="1:7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</row>
    <row r="282" spans="1:7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</row>
    <row r="283" spans="1:7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</row>
    <row r="284" spans="1:7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</row>
    <row r="285" spans="1:7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</row>
    <row r="286" spans="1:7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</row>
    <row r="287" spans="1:7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</row>
    <row r="288" spans="1:7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</row>
    <row r="289" spans="1:7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</row>
    <row r="290" spans="1:7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</row>
    <row r="291" spans="1:7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</row>
    <row r="292" spans="1:7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</row>
    <row r="293" spans="1:7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</row>
    <row r="294" spans="1:7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</row>
    <row r="295" spans="1:7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</row>
    <row r="296" spans="1:7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</row>
    <row r="297" spans="1:7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</row>
    <row r="298" spans="1:7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</row>
    <row r="299" spans="1:7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</row>
    <row r="300" spans="1:7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</row>
    <row r="301" spans="1:7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</row>
    <row r="302" spans="1:7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</row>
    <row r="303" spans="1:7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</row>
    <row r="304" spans="1:7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</row>
    <row r="305" spans="1:7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</row>
    <row r="306" spans="1:7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</row>
    <row r="307" spans="1:7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</row>
    <row r="308" spans="1:7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</row>
    <row r="309" spans="1:7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</row>
    <row r="310" spans="1:7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</row>
    <row r="311" spans="1:7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</row>
    <row r="312" spans="1:7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</row>
    <row r="313" spans="1:7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</row>
    <row r="314" spans="1:7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</row>
    <row r="315" spans="1:7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</row>
    <row r="316" spans="1:7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</row>
    <row r="317" spans="1:7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</row>
    <row r="318" spans="1:7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</row>
    <row r="319" spans="1:7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</row>
    <row r="320" spans="1:7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</row>
    <row r="321" spans="1:7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</row>
    <row r="322" spans="1:7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</row>
    <row r="323" spans="1:7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</row>
    <row r="324" spans="1:7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</row>
    <row r="325" spans="1:7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</row>
    <row r="326" spans="1:7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</row>
    <row r="327" spans="1:7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</row>
    <row r="328" spans="1:7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</row>
    <row r="329" spans="1:7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</row>
    <row r="330" spans="1:7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</row>
    <row r="331" spans="1:7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</row>
    <row r="332" spans="1:7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</row>
    <row r="333" spans="1:7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</row>
    <row r="334" spans="1:7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</row>
    <row r="335" spans="1:7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</row>
    <row r="336" spans="1:7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</row>
    <row r="337" spans="1:7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</row>
    <row r="338" spans="1:7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</row>
    <row r="339" spans="1:7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</row>
    <row r="340" spans="1:7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</row>
    <row r="341" spans="1:7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</row>
    <row r="342" spans="1:7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</row>
    <row r="343" spans="1:7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</row>
    <row r="344" spans="1:7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</row>
    <row r="345" spans="1:7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</row>
    <row r="346" spans="1:7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</row>
    <row r="347" spans="1:7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</row>
    <row r="348" spans="1:7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</row>
    <row r="349" spans="1:7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</row>
    <row r="350" spans="1:7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</row>
    <row r="351" spans="1:7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</row>
    <row r="352" spans="1:7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</row>
    <row r="353" spans="1:7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</row>
    <row r="354" spans="1:7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</row>
    <row r="355" spans="1:7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</row>
    <row r="356" spans="1:7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</row>
    <row r="357" spans="1:7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</row>
    <row r="358" spans="1:7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</row>
    <row r="359" spans="1:7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</row>
    <row r="360" spans="1:7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</row>
    <row r="361" spans="1:7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</row>
    <row r="362" spans="1:7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</row>
    <row r="363" spans="1:7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</row>
    <row r="364" spans="1:7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</row>
    <row r="365" spans="1:7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</row>
    <row r="366" spans="1:7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</row>
    <row r="367" spans="1:7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</row>
    <row r="368" spans="1:7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</row>
    <row r="369" spans="1:7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</row>
    <row r="370" spans="1:7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</row>
    <row r="371" spans="1:7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</row>
    <row r="372" spans="1:7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</row>
    <row r="373" spans="1:7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</row>
    <row r="374" spans="1:7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</row>
    <row r="375" spans="1:7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</row>
    <row r="376" spans="1:7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</row>
    <row r="377" spans="1:7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</row>
    <row r="378" spans="1:7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</row>
    <row r="379" spans="1:7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</row>
    <row r="380" spans="1:7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</row>
    <row r="381" spans="1:7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</row>
    <row r="382" spans="1:7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</row>
    <row r="383" spans="1:7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</row>
    <row r="384" spans="1:7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</row>
    <row r="385" spans="1:7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</row>
    <row r="386" spans="1:7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</row>
    <row r="387" spans="1:7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</row>
    <row r="388" spans="1:7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</row>
    <row r="389" spans="1:7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</row>
    <row r="390" spans="1:7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</row>
    <row r="391" spans="1:7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</row>
    <row r="392" spans="1:7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</row>
    <row r="393" spans="1:7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</row>
    <row r="394" spans="1:7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</row>
    <row r="395" spans="1:7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</row>
    <row r="396" spans="1:7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</row>
    <row r="397" spans="1:7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</row>
    <row r="398" spans="1:7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</row>
    <row r="399" spans="1:7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</row>
    <row r="400" spans="1:7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</row>
    <row r="401" spans="1:7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</row>
    <row r="402" spans="1:7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</row>
    <row r="403" spans="1:7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</row>
    <row r="404" spans="1:7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</row>
    <row r="405" spans="1:7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</row>
    <row r="406" spans="1:7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</row>
    <row r="407" spans="1:7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</row>
    <row r="408" spans="1:7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</row>
    <row r="409" spans="1:7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</row>
    <row r="410" spans="1:7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</row>
    <row r="411" spans="1:7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</row>
    <row r="412" spans="1:7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</row>
    <row r="413" spans="1:7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</row>
    <row r="414" spans="1:7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</row>
    <row r="415" spans="1:7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</row>
    <row r="416" spans="1:7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</row>
    <row r="417" spans="1:7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</row>
    <row r="418" spans="1:7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</row>
    <row r="419" spans="1:7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</row>
    <row r="420" spans="1:7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</row>
    <row r="421" spans="1:7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</row>
    <row r="422" spans="1:7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</row>
    <row r="423" spans="1:7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</row>
    <row r="424" spans="1:7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</row>
    <row r="425" spans="1:7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</row>
    <row r="426" spans="1:7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</row>
    <row r="427" spans="1:7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</row>
    <row r="428" spans="1:7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</row>
    <row r="429" spans="1:7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</row>
    <row r="430" spans="1:7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</row>
    <row r="431" spans="1:7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</row>
    <row r="432" spans="1:7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</row>
    <row r="433" spans="1:7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</row>
    <row r="434" spans="1:7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</row>
    <row r="435" spans="1:7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</row>
    <row r="436" spans="1:7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</row>
    <row r="437" spans="1:7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</row>
    <row r="438" spans="1:7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</row>
    <row r="439" spans="1:7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</row>
    <row r="440" spans="1:7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</row>
    <row r="441" spans="1:7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</row>
    <row r="442" spans="1:7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</row>
    <row r="443" spans="1:7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</row>
    <row r="444" spans="1:7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</row>
    <row r="445" spans="1:7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</row>
    <row r="446" spans="1:7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</row>
    <row r="447" spans="1:7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</row>
    <row r="448" spans="1:7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</row>
    <row r="449" spans="1:7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</row>
    <row r="450" spans="1:7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</row>
    <row r="451" spans="1:7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</row>
    <row r="452" spans="1:7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</row>
    <row r="453" spans="1:7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</row>
    <row r="454" spans="1:7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</row>
    <row r="455" spans="1:7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</row>
    <row r="456" spans="1:7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</row>
    <row r="457" spans="1:7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</row>
    <row r="458" spans="1:7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</row>
    <row r="459" spans="1:7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</row>
    <row r="460" spans="1:7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</row>
    <row r="461" spans="1:7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</row>
    <row r="462" spans="1:7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</row>
    <row r="463" spans="1:7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</row>
    <row r="464" spans="1:7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</row>
    <row r="465" spans="1:7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</row>
    <row r="466" spans="1:7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</row>
    <row r="467" spans="1:7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</row>
    <row r="468" spans="1:7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</row>
    <row r="469" spans="1:7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</row>
    <row r="470" spans="1:7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</row>
    <row r="471" spans="1:7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</row>
    <row r="472" spans="1:7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</row>
    <row r="473" spans="1:7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</row>
    <row r="474" spans="1:7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</row>
    <row r="475" spans="1:7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</row>
    <row r="476" spans="1:7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</row>
    <row r="477" spans="1:7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</row>
    <row r="478" spans="1:7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</row>
    <row r="479" spans="1:7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</row>
    <row r="480" spans="1:7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</row>
    <row r="481" spans="1:7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</row>
    <row r="482" spans="1:7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</row>
    <row r="483" spans="1:7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</row>
    <row r="484" spans="1:7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</row>
    <row r="485" spans="1:7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</row>
    <row r="486" spans="1:7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</row>
    <row r="487" spans="1:7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</row>
    <row r="488" spans="1:7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</row>
    <row r="489" spans="1:7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</row>
    <row r="490" spans="1:7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</row>
    <row r="491" spans="1:7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</row>
    <row r="492" spans="1:7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</row>
    <row r="493" spans="1:7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</row>
    <row r="494" spans="1:7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</row>
    <row r="495" spans="1:7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</row>
    <row r="496" spans="1:7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</row>
    <row r="497" spans="1:7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</row>
    <row r="498" spans="1:7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</row>
    <row r="499" spans="1:7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</row>
    <row r="500" spans="1:7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</row>
    <row r="501" spans="1:7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</row>
    <row r="502" spans="1:7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</row>
    <row r="503" spans="1:7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</row>
    <row r="504" spans="1:7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</row>
    <row r="505" spans="1:7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</row>
    <row r="506" spans="1:7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</row>
    <row r="507" spans="1:7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</row>
    <row r="508" spans="1:7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</row>
    <row r="509" spans="1:7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</row>
    <row r="510" spans="1:7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</row>
    <row r="511" spans="1:7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</row>
    <row r="512" spans="1:7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</row>
    <row r="513" spans="1:7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</row>
    <row r="514" spans="1:7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</row>
    <row r="515" spans="1:7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</row>
    <row r="516" spans="1:7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</row>
    <row r="517" spans="1:7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</row>
    <row r="518" spans="1:7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</row>
    <row r="519" spans="1:7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</row>
    <row r="520" spans="1:7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</row>
    <row r="521" spans="1:7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</row>
    <row r="522" spans="1:7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</row>
    <row r="523" spans="1:7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</row>
    <row r="524" spans="1:7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</row>
    <row r="525" spans="1:7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</row>
    <row r="526" spans="1:7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</row>
    <row r="527" spans="1:7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</row>
    <row r="528" spans="1:7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</row>
    <row r="529" spans="1:7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</row>
    <row r="530" spans="1:7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</row>
    <row r="531" spans="1:7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</row>
    <row r="532" spans="1:7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</row>
    <row r="533" spans="1:7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</row>
    <row r="534" spans="1:7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</row>
    <row r="535" spans="1:7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</row>
    <row r="536" spans="1:7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</row>
    <row r="537" spans="1:7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</row>
    <row r="538" spans="1:7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</row>
    <row r="539" spans="1:7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</row>
    <row r="540" spans="1:7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</row>
    <row r="541" spans="1:7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</row>
    <row r="542" spans="1:7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</row>
    <row r="543" spans="1:7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</row>
    <row r="544" spans="1:7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</row>
    <row r="545" spans="1:7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</row>
    <row r="546" spans="1:7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</row>
    <row r="547" spans="1:7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</row>
    <row r="548" spans="1:7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</row>
    <row r="549" spans="1:7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</row>
    <row r="550" spans="1:7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</row>
    <row r="551" spans="1:7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</row>
    <row r="552" spans="1:7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</row>
    <row r="553" spans="1:7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</row>
    <row r="554" spans="1:7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</row>
    <row r="555" spans="1:7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</row>
    <row r="556" spans="1:7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</row>
    <row r="557" spans="1:7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</row>
    <row r="558" spans="1:7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</row>
    <row r="559" spans="1:7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</row>
    <row r="560" spans="1:7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</row>
    <row r="561" spans="1:7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</row>
    <row r="562" spans="1:7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</row>
    <row r="563" spans="1:7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</row>
    <row r="564" spans="1:7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</row>
    <row r="565" spans="1:7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</row>
    <row r="566" spans="1:7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</row>
    <row r="567" spans="1:7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</row>
    <row r="568" spans="1:7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</row>
    <row r="569" spans="1:7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</row>
    <row r="570" spans="1:7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</row>
    <row r="571" spans="1:7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</row>
    <row r="572" spans="1:7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</row>
    <row r="573" spans="1:7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</row>
    <row r="574" spans="1:7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</row>
    <row r="575" spans="1:7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</row>
    <row r="576" spans="1:7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</row>
    <row r="577" spans="1:7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</row>
    <row r="578" spans="1:7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</row>
    <row r="579" spans="1:7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</row>
    <row r="580" spans="1:7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</row>
    <row r="581" spans="1:7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</row>
    <row r="582" spans="1:7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</row>
    <row r="583" spans="1:7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</row>
    <row r="584" spans="1:7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</row>
    <row r="585" spans="1:7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</row>
    <row r="586" spans="1:7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</row>
    <row r="587" spans="1:7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</row>
    <row r="588" spans="1:7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</row>
    <row r="589" spans="1:7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</row>
    <row r="590" spans="1:7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</row>
    <row r="591" spans="1:7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</row>
    <row r="592" spans="1:7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</row>
    <row r="593" spans="1:7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</row>
    <row r="594" spans="1:7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</row>
    <row r="595" spans="1:7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</row>
    <row r="596" spans="1:7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</row>
    <row r="597" spans="1:7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</row>
    <row r="598" spans="1:7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</row>
    <row r="599" spans="1:7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</row>
    <row r="600" spans="1:7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</row>
    <row r="601" spans="1:7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</row>
    <row r="602" spans="1:7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</row>
    <row r="603" spans="1:7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</row>
    <row r="604" spans="1:7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</row>
    <row r="605" spans="1:7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</row>
    <row r="606" spans="1:7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</row>
    <row r="607" spans="1:7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</row>
    <row r="608" spans="1:7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</row>
    <row r="609" spans="1:7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</row>
    <row r="610" spans="1:7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</row>
    <row r="611" spans="1:7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</row>
    <row r="612" spans="1:7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</row>
    <row r="613" spans="1:7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</row>
    <row r="614" spans="1:7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</row>
    <row r="615" spans="1:7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</row>
    <row r="616" spans="1:7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</row>
    <row r="617" spans="1:7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</row>
    <row r="618" spans="1:7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</row>
    <row r="619" spans="1:7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</row>
    <row r="620" spans="1:7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</row>
    <row r="621" spans="1:7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</row>
    <row r="622" spans="1:7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</row>
    <row r="623" spans="1:7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</row>
    <row r="624" spans="1:7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</row>
    <row r="625" spans="1:7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</row>
    <row r="626" spans="1:7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</row>
    <row r="627" spans="1:7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</row>
    <row r="628" spans="1:7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</row>
    <row r="629" spans="1:7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</row>
    <row r="630" spans="1:7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</row>
    <row r="631" spans="1:7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</row>
    <row r="632" spans="1:7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</row>
    <row r="633" spans="1:7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</row>
    <row r="634" spans="1:7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</row>
    <row r="635" spans="1:7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</row>
    <row r="636" spans="1:7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</row>
    <row r="637" spans="1:7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</row>
    <row r="638" spans="1:7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</row>
    <row r="639" spans="1:7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</row>
    <row r="640" spans="1:7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</row>
    <row r="641" spans="1:7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</row>
    <row r="642" spans="1:7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</row>
    <row r="643" spans="1:7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</row>
    <row r="644" spans="1:7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</row>
    <row r="645" spans="1:7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</row>
    <row r="646" spans="1:7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</row>
    <row r="647" spans="1:7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</row>
    <row r="648" spans="1:7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</row>
    <row r="649" spans="1:7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</row>
    <row r="650" spans="1:7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</row>
    <row r="651" spans="1:7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</row>
    <row r="652" spans="1:7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</row>
    <row r="653" spans="1:7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</row>
    <row r="654" spans="1:7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</row>
    <row r="655" spans="1:7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</row>
    <row r="656" spans="1:7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</row>
    <row r="657" spans="1:7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</row>
    <row r="658" spans="1:7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</row>
    <row r="659" spans="1:7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</row>
    <row r="660" spans="1:7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</row>
    <row r="661" spans="1:7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</row>
    <row r="662" spans="1:7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</row>
    <row r="663" spans="1:7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</row>
    <row r="664" spans="1:7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</row>
    <row r="665" spans="1:7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</row>
    <row r="666" spans="1:7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</row>
    <row r="667" spans="1:7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</row>
    <row r="668" spans="1:7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</row>
    <row r="669" spans="1:7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</row>
    <row r="670" spans="1:7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</row>
    <row r="671" spans="1:7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</row>
    <row r="672" spans="1:7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</row>
    <row r="673" spans="1:7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</row>
    <row r="674" spans="1:7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</row>
    <row r="675" spans="1:7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</row>
    <row r="676" spans="1:7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</row>
    <row r="677" spans="1:7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</row>
    <row r="678" spans="1:7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</row>
    <row r="679" spans="1:7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</row>
    <row r="680" spans="1:7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</row>
    <row r="681" spans="1:7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</row>
    <row r="682" spans="1:7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</row>
    <row r="683" spans="1:7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</row>
    <row r="684" spans="1:7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</row>
    <row r="685" spans="1:7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</row>
    <row r="686" spans="1:7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</row>
    <row r="687" spans="1:7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</row>
    <row r="688" spans="1:7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</row>
    <row r="689" spans="1:7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</row>
    <row r="690" spans="1:7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</row>
    <row r="691" spans="1:7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</row>
    <row r="692" spans="1:7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</row>
    <row r="693" spans="1:7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</row>
    <row r="694" spans="1:7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</row>
    <row r="695" spans="1:7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</row>
    <row r="696" spans="1:7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</row>
    <row r="697" spans="1:7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</row>
    <row r="698" spans="1:7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</row>
    <row r="699" spans="1:7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</row>
    <row r="700" spans="1:7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</row>
    <row r="701" spans="1:7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</row>
    <row r="702" spans="1:7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</row>
    <row r="703" spans="1:7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</row>
    <row r="704" spans="1:7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</row>
    <row r="705" spans="1:7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</row>
    <row r="706" spans="1:7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</row>
    <row r="707" spans="1:7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</row>
    <row r="708" spans="1:7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</row>
    <row r="709" spans="1:7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</row>
    <row r="710" spans="1:7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</row>
    <row r="711" spans="1:7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</row>
    <row r="712" spans="1:7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</row>
    <row r="713" spans="1:7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</row>
    <row r="714" spans="1:7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</row>
    <row r="715" spans="1:7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</row>
    <row r="716" spans="1:7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</row>
    <row r="717" spans="1:7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</row>
    <row r="718" spans="1:7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</row>
    <row r="719" spans="1:7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</row>
    <row r="720" spans="1:7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</row>
    <row r="721" spans="1:7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</row>
    <row r="722" spans="1:7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</row>
    <row r="723" spans="1:7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</row>
    <row r="724" spans="1:7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</row>
    <row r="725" spans="1:7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</row>
    <row r="726" spans="1:7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</row>
    <row r="727" spans="1:7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</row>
    <row r="728" spans="1:7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</row>
    <row r="729" spans="1:7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</row>
    <row r="730" spans="1:7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</row>
    <row r="731" spans="1:7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</row>
    <row r="732" spans="1:7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</row>
    <row r="733" spans="1:7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</row>
    <row r="734" spans="1:7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</row>
    <row r="735" spans="1:7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</row>
    <row r="736" spans="1:7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</row>
    <row r="737" spans="1:7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</row>
    <row r="738" spans="1:7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</row>
    <row r="739" spans="1:7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</row>
    <row r="740" spans="1:7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</row>
    <row r="741" spans="1:7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</row>
    <row r="742" spans="1:7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</row>
    <row r="743" spans="1:7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</row>
    <row r="744" spans="1:7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</row>
    <row r="745" spans="1:7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</row>
    <row r="746" spans="1:7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</row>
    <row r="747" spans="1:7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</row>
    <row r="748" spans="1:7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</row>
    <row r="749" spans="1:7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</row>
    <row r="750" spans="1:7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</row>
    <row r="751" spans="1:7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</row>
    <row r="752" spans="1:7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</row>
    <row r="753" spans="1:7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</row>
    <row r="754" spans="1:7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</row>
    <row r="755" spans="1:7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</row>
    <row r="756" spans="1:7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</row>
    <row r="757" spans="1:7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</row>
    <row r="758" spans="1:7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</row>
    <row r="759" spans="1:7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</row>
    <row r="760" spans="1:7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</row>
    <row r="761" spans="1:7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</row>
    <row r="762" spans="1:7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</row>
    <row r="763" spans="1:7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</row>
    <row r="764" spans="1:7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</row>
    <row r="765" spans="1:7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</row>
    <row r="766" spans="1:7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</row>
    <row r="767" spans="1:7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</row>
    <row r="768" spans="1:7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</row>
    <row r="769" spans="1:7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</row>
    <row r="770" spans="1:7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</row>
    <row r="771" spans="1:7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</row>
    <row r="772" spans="1:7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</row>
    <row r="773" spans="1:7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</row>
    <row r="774" spans="1:7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</row>
    <row r="775" spans="1:7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</row>
    <row r="776" spans="1:7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</row>
    <row r="777" spans="1:7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</row>
    <row r="778" spans="1:7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</row>
    <row r="779" spans="1:7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</row>
    <row r="780" spans="1:7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</row>
    <row r="781" spans="1:7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</row>
    <row r="782" spans="1:7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</row>
    <row r="783" spans="1:7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</row>
    <row r="784" spans="1:7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</row>
    <row r="785" spans="1:7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</row>
    <row r="786" spans="1:7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</row>
    <row r="787" spans="1:7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</row>
    <row r="788" spans="1:7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</row>
    <row r="789" spans="1:7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</row>
    <row r="790" spans="1:7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</row>
    <row r="791" spans="1:7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</row>
    <row r="792" spans="1:7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</row>
    <row r="793" spans="1:7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</row>
    <row r="794" spans="1:7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</row>
    <row r="795" spans="1:7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</row>
    <row r="796" spans="1:7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</row>
    <row r="797" spans="1:7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</row>
    <row r="798" spans="1:7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</row>
    <row r="799" spans="1:7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</row>
    <row r="800" spans="1:7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</row>
    <row r="801" spans="1:7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</row>
    <row r="802" spans="1:7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</row>
    <row r="803" spans="1:7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</row>
    <row r="804" spans="1:7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</row>
    <row r="805" spans="1:7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</row>
    <row r="806" spans="1:7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</row>
    <row r="807" spans="1:7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</row>
    <row r="808" spans="1:7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</row>
    <row r="809" spans="1:7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</row>
    <row r="810" spans="1:7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</row>
    <row r="811" spans="1:7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</row>
    <row r="812" spans="1:7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</row>
    <row r="813" spans="1:7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</row>
    <row r="814" spans="1:7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</row>
    <row r="815" spans="1:7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</row>
    <row r="816" spans="1:7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</row>
    <row r="817" spans="1:7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</row>
    <row r="818" spans="1:7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</row>
    <row r="819" spans="1:7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</row>
    <row r="820" spans="1:7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</row>
    <row r="821" spans="1:7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</row>
    <row r="822" spans="1:7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</row>
    <row r="823" spans="1:7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</row>
    <row r="824" spans="1:7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</row>
    <row r="825" spans="1:7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</row>
    <row r="826" spans="1:7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</row>
    <row r="827" spans="1:7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</row>
    <row r="828" spans="1:7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</row>
    <row r="829" spans="1:7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</row>
    <row r="830" spans="1:7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</row>
    <row r="831" spans="1:7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</row>
    <row r="832" spans="1:7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</row>
    <row r="833" spans="1:7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</row>
    <row r="834" spans="1:7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</row>
    <row r="835" spans="1:7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</row>
    <row r="836" spans="1:7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</row>
    <row r="837" spans="1:7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</row>
    <row r="838" spans="1:7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</row>
    <row r="839" spans="1:7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</row>
    <row r="840" spans="1:7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</row>
    <row r="841" spans="1:7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</row>
    <row r="842" spans="1:7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</row>
    <row r="843" spans="1:7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</row>
    <row r="844" spans="1:7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</row>
    <row r="845" spans="1:7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</row>
    <row r="846" spans="1:7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</row>
    <row r="847" spans="1:7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</row>
    <row r="848" spans="1:7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</row>
    <row r="849" spans="1:7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</row>
    <row r="850" spans="1:7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</row>
    <row r="851" spans="1:7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</row>
    <row r="852" spans="1:7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</row>
    <row r="853" spans="1:7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</row>
    <row r="854" spans="1:7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</row>
    <row r="855" spans="1:7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</row>
    <row r="856" spans="1:7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</row>
    <row r="857" spans="1:7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</row>
    <row r="858" spans="1:7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</row>
    <row r="859" spans="1:7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</row>
    <row r="860" spans="1:7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</row>
    <row r="861" spans="1:7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</row>
    <row r="862" spans="1:7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</row>
    <row r="863" spans="1:7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</row>
    <row r="864" spans="1:7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</row>
    <row r="865" spans="1:7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</row>
    <row r="866" spans="1:7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</row>
    <row r="867" spans="1:7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</row>
    <row r="868" spans="1:7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</row>
    <row r="869" spans="1:7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</row>
    <row r="870" spans="1:7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</row>
    <row r="871" spans="1:7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</row>
    <row r="872" spans="1:7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</row>
    <row r="873" spans="1:7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</row>
    <row r="874" spans="1:7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</row>
    <row r="875" spans="1:7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</row>
    <row r="876" spans="1:7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</row>
    <row r="877" spans="1:7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</row>
    <row r="878" spans="1:7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</row>
    <row r="879" spans="1:7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</row>
    <row r="880" spans="1:7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</row>
    <row r="881" spans="1:7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</row>
    <row r="882" spans="1:7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</row>
    <row r="883" spans="1:7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</row>
    <row r="884" spans="1:7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</row>
    <row r="885" spans="1:7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</row>
    <row r="886" spans="1:7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</row>
    <row r="887" spans="1:7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</row>
    <row r="888" spans="1:7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</row>
    <row r="889" spans="1:7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</row>
    <row r="890" spans="1:7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</row>
    <row r="891" spans="1:7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</row>
    <row r="892" spans="1:7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</row>
    <row r="893" spans="1:7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</row>
    <row r="894" spans="1:7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</row>
    <row r="895" spans="1:7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</row>
    <row r="896" spans="1:7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</row>
    <row r="897" spans="1:7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</row>
    <row r="898" spans="1:7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</row>
    <row r="899" spans="1:7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</row>
    <row r="900" spans="1:7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</row>
    <row r="901" spans="1:7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</row>
    <row r="902" spans="1:7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</row>
    <row r="903" spans="1:7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</row>
    <row r="904" spans="1:7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</row>
    <row r="905" spans="1:7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</row>
    <row r="906" spans="1:7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</row>
    <row r="907" spans="1:7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</row>
    <row r="908" spans="1:7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</row>
    <row r="909" spans="1:7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</row>
    <row r="910" spans="1:7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</row>
    <row r="911" spans="1:7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</row>
    <row r="912" spans="1:7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</row>
    <row r="913" spans="1:7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</row>
    <row r="914" spans="1:7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</row>
    <row r="915" spans="1:7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</row>
    <row r="916" spans="1:7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</row>
    <row r="917" spans="1:7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</row>
    <row r="918" spans="1:7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</row>
    <row r="919" spans="1:7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</row>
    <row r="920" spans="1:7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</row>
    <row r="921" spans="1:7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</row>
    <row r="922" spans="1:7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</row>
    <row r="923" spans="1:7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</row>
    <row r="924" spans="1:7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</row>
    <row r="925" spans="1:7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</row>
    <row r="926" spans="1:7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</row>
    <row r="927" spans="1:7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</row>
    <row r="928" spans="1:7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</row>
    <row r="929" spans="1:7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</row>
    <row r="930" spans="1:7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</row>
    <row r="931" spans="1:7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</row>
    <row r="932" spans="1:7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</row>
    <row r="933" spans="1:7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</row>
    <row r="934" spans="1:7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</row>
    <row r="935" spans="1:7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</row>
    <row r="936" spans="1:7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</row>
    <row r="937" spans="1:7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</row>
    <row r="938" spans="1:7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</row>
    <row r="939" spans="1:7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</row>
    <row r="940" spans="1:7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</row>
    <row r="941" spans="1:7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</row>
    <row r="942" spans="1:7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</row>
    <row r="943" spans="1:7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</row>
    <row r="944" spans="1:7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</row>
    <row r="945" spans="1:7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</row>
    <row r="946" spans="1:7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</row>
    <row r="947" spans="1:7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</row>
    <row r="948" spans="1:7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</row>
    <row r="949" spans="1:7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</row>
    <row r="950" spans="1:7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</row>
    <row r="951" spans="1:7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</row>
    <row r="952" spans="1:7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</row>
    <row r="953" spans="1:7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</row>
    <row r="954" spans="1:7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</row>
    <row r="955" spans="1:7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</row>
    <row r="956" spans="1:7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</row>
    <row r="957" spans="1:7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</row>
    <row r="958" spans="1:7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</row>
  </sheetData>
  <mergeCells count="19">
    <mergeCell ref="C1:D1"/>
    <mergeCell ref="I1:J1"/>
    <mergeCell ref="O1:P1"/>
    <mergeCell ref="X1:Y1"/>
    <mergeCell ref="AD1:AE1"/>
    <mergeCell ref="F1:G1"/>
    <mergeCell ref="AJ1:AK1"/>
    <mergeCell ref="AP1:AQ1"/>
    <mergeCell ref="AV1:AW1"/>
    <mergeCell ref="BB1:BC1"/>
    <mergeCell ref="BE1:BF1"/>
    <mergeCell ref="AY1:AZ1"/>
    <mergeCell ref="AS1:AT1"/>
    <mergeCell ref="AM1:AN1"/>
    <mergeCell ref="AG1:AH1"/>
    <mergeCell ref="AA1:AB1"/>
    <mergeCell ref="U1:V1"/>
    <mergeCell ref="R1:S1"/>
    <mergeCell ref="L1:M1"/>
  </mergeCells>
  <phoneticPr fontId="6" type="noConversion"/>
  <pageMargins left="0.7" right="0.7" top="0.75" bottom="0.75" header="0.3" footer="0.3"/>
  <pageSetup paperSize="9"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S200"/>
  <sheetViews>
    <sheetView workbookViewId="0">
      <pane ySplit="1" topLeftCell="A2" activePane="bottomLeft" state="frozen"/>
      <selection pane="bottomLeft" sqref="A1:B1"/>
    </sheetView>
  </sheetViews>
  <sheetFormatPr defaultColWidth="14" defaultRowHeight="12.75" x14ac:dyDescent="0.2"/>
  <cols>
    <col min="1" max="49" width="19" customWidth="1"/>
    <col min="50" max="50" width="16" customWidth="1"/>
    <col min="51" max="52" width="18" customWidth="1"/>
    <col min="53" max="53" width="17" customWidth="1"/>
    <col min="54" max="59" width="18" customWidth="1"/>
    <col min="60" max="71" width="14" customWidth="1"/>
  </cols>
  <sheetData>
    <row r="1" spans="1:71" x14ac:dyDescent="0.2">
      <c r="A1" s="199">
        <v>46098</v>
      </c>
      <c r="B1" s="199"/>
      <c r="C1" s="99" t="s">
        <v>0</v>
      </c>
      <c r="D1" s="199">
        <v>46063</v>
      </c>
      <c r="E1" s="199"/>
      <c r="F1" s="99" t="s">
        <v>0</v>
      </c>
      <c r="G1" s="199">
        <v>46037</v>
      </c>
      <c r="H1" s="199"/>
      <c r="I1" s="99" t="s">
        <v>0</v>
      </c>
      <c r="J1" s="199">
        <v>46000</v>
      </c>
      <c r="K1" s="199"/>
      <c r="L1" s="99" t="s">
        <v>0</v>
      </c>
      <c r="M1" s="199">
        <v>45960</v>
      </c>
      <c r="N1" s="199"/>
      <c r="O1" s="99" t="s">
        <v>0</v>
      </c>
      <c r="P1" s="195">
        <v>45930</v>
      </c>
      <c r="Q1" s="195"/>
      <c r="R1" s="101" t="s">
        <v>0</v>
      </c>
      <c r="S1" s="193">
        <v>45895</v>
      </c>
      <c r="T1" s="193"/>
      <c r="U1" s="99" t="s">
        <v>0</v>
      </c>
      <c r="V1" s="193">
        <v>45853</v>
      </c>
      <c r="W1" s="193"/>
      <c r="X1" s="99" t="s">
        <v>0</v>
      </c>
      <c r="Y1" s="193">
        <v>45818</v>
      </c>
      <c r="Z1" s="193"/>
      <c r="AA1" s="99" t="s">
        <v>0</v>
      </c>
      <c r="AB1" s="193">
        <v>45776</v>
      </c>
      <c r="AC1" s="193"/>
      <c r="AD1" s="99" t="s">
        <v>0</v>
      </c>
      <c r="AE1" s="193">
        <v>45741</v>
      </c>
      <c r="AF1" s="193"/>
      <c r="AG1" s="99" t="s">
        <v>0</v>
      </c>
      <c r="AH1" s="193">
        <v>45708</v>
      </c>
      <c r="AI1" s="199"/>
      <c r="AJ1" s="99" t="s">
        <v>0</v>
      </c>
      <c r="AK1" s="199">
        <v>45680</v>
      </c>
      <c r="AL1" s="199"/>
      <c r="AM1" s="99" t="s">
        <v>0</v>
      </c>
      <c r="AN1" s="39">
        <v>45650</v>
      </c>
      <c r="AO1" s="99" t="s">
        <v>0</v>
      </c>
      <c r="AP1" s="195">
        <v>45601</v>
      </c>
      <c r="AQ1" s="195"/>
      <c r="AR1" s="101" t="s">
        <v>0</v>
      </c>
      <c r="AS1" s="206">
        <v>45565</v>
      </c>
      <c r="AT1" s="194"/>
      <c r="AU1" s="99" t="s">
        <v>0</v>
      </c>
      <c r="AV1" s="196">
        <v>45531</v>
      </c>
      <c r="AW1" s="196"/>
      <c r="AX1" s="101" t="s">
        <v>0</v>
      </c>
      <c r="AY1" s="202">
        <v>45496</v>
      </c>
      <c r="AZ1" s="202"/>
      <c r="BA1" s="102" t="s">
        <v>0</v>
      </c>
      <c r="BB1" s="195">
        <v>45461</v>
      </c>
      <c r="BC1" s="195"/>
      <c r="BD1" s="42" t="s">
        <v>0</v>
      </c>
      <c r="BE1" s="197">
        <v>45419</v>
      </c>
      <c r="BF1" s="197"/>
      <c r="BG1" s="130" t="s">
        <v>0</v>
      </c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</row>
    <row r="2" spans="1:71" x14ac:dyDescent="0.2">
      <c r="A2" s="9" t="s">
        <v>812</v>
      </c>
      <c r="B2" s="9" t="s">
        <v>813</v>
      </c>
      <c r="C2" s="3">
        <v>7.7499999999999999E-2</v>
      </c>
      <c r="D2" s="15" t="s">
        <v>814</v>
      </c>
      <c r="E2" s="15" t="s">
        <v>815</v>
      </c>
      <c r="F2" s="25">
        <v>6.8000000000000005E-2</v>
      </c>
      <c r="G2" s="15" t="s">
        <v>816</v>
      </c>
      <c r="H2" s="9" t="s">
        <v>817</v>
      </c>
      <c r="I2" s="3">
        <v>9.5000000000000001E-2</v>
      </c>
      <c r="J2" s="19" t="s">
        <v>818</v>
      </c>
      <c r="K2" s="18" t="s">
        <v>819</v>
      </c>
      <c r="L2" s="46">
        <v>9.0999999999999998E-2</v>
      </c>
      <c r="M2" s="10" t="s">
        <v>144</v>
      </c>
      <c r="N2" s="17" t="s">
        <v>145</v>
      </c>
      <c r="O2" s="3">
        <v>9.5000000000000001E-2</v>
      </c>
      <c r="P2" s="19" t="s">
        <v>146</v>
      </c>
      <c r="Q2" s="18" t="s">
        <v>147</v>
      </c>
      <c r="R2" s="133">
        <v>8.6900000000000005E-2</v>
      </c>
      <c r="S2" s="15" t="s">
        <v>195</v>
      </c>
      <c r="T2" s="9" t="s">
        <v>196</v>
      </c>
      <c r="U2" s="3">
        <v>8.2500000000000004E-2</v>
      </c>
      <c r="V2" s="83" t="s">
        <v>180</v>
      </c>
      <c r="W2" s="82" t="s">
        <v>181</v>
      </c>
      <c r="X2" s="3">
        <v>8.2500000000000004E-2</v>
      </c>
      <c r="Y2" s="15" t="s">
        <v>213</v>
      </c>
      <c r="Z2" s="9" t="s">
        <v>214</v>
      </c>
      <c r="AA2" s="3">
        <v>0.1429</v>
      </c>
      <c r="AB2" s="97" t="s">
        <v>253</v>
      </c>
      <c r="AC2" s="96" t="s">
        <v>254</v>
      </c>
      <c r="AD2" s="3">
        <v>0.125</v>
      </c>
      <c r="AE2" s="12" t="s">
        <v>1102</v>
      </c>
      <c r="AF2" s="5" t="s">
        <v>1103</v>
      </c>
      <c r="AG2" s="3">
        <v>0.1429</v>
      </c>
      <c r="AH2" s="83" t="s">
        <v>1102</v>
      </c>
      <c r="AI2" s="82" t="s">
        <v>1103</v>
      </c>
      <c r="AJ2" s="3">
        <v>0.1429</v>
      </c>
      <c r="AK2" s="83" t="s">
        <v>1104</v>
      </c>
      <c r="AL2" s="82" t="s">
        <v>1105</v>
      </c>
      <c r="AM2" s="3">
        <v>0.125</v>
      </c>
      <c r="AN2" s="78" t="s">
        <v>1106</v>
      </c>
      <c r="AO2" s="3">
        <v>0.125</v>
      </c>
      <c r="AP2" s="83" t="s">
        <v>424</v>
      </c>
      <c r="AQ2" s="82" t="s">
        <v>425</v>
      </c>
      <c r="AR2" s="3">
        <v>0.125</v>
      </c>
      <c r="AS2" s="97" t="s">
        <v>1107</v>
      </c>
      <c r="AT2" s="96" t="s">
        <v>1108</v>
      </c>
      <c r="AU2" s="134">
        <v>0.125</v>
      </c>
      <c r="AV2" s="135" t="s">
        <v>153</v>
      </c>
      <c r="AW2" s="131" t="s">
        <v>154</v>
      </c>
      <c r="AX2" s="132">
        <v>0.10150000000000001</v>
      </c>
      <c r="AY2" s="96" t="s">
        <v>1109</v>
      </c>
      <c r="AZ2" s="96" t="s">
        <v>1110</v>
      </c>
      <c r="BA2" s="129">
        <v>0.1106</v>
      </c>
      <c r="BB2" s="96" t="s">
        <v>1111</v>
      </c>
      <c r="BC2" s="96" t="s">
        <v>1112</v>
      </c>
      <c r="BD2" s="128">
        <v>0.11700000000000001</v>
      </c>
      <c r="BE2" s="82" t="s">
        <v>1113</v>
      </c>
      <c r="BF2" s="82" t="s">
        <v>1114</v>
      </c>
      <c r="BG2" s="127">
        <v>0.12820000000000001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</row>
    <row r="3" spans="1:71" x14ac:dyDescent="0.2">
      <c r="A3" s="9" t="s">
        <v>821</v>
      </c>
      <c r="B3" s="9" t="s">
        <v>822</v>
      </c>
      <c r="C3" s="3">
        <v>7.7499999999999999E-2</v>
      </c>
      <c r="D3" s="15" t="s">
        <v>823</v>
      </c>
      <c r="E3" s="15" t="s">
        <v>824</v>
      </c>
      <c r="F3" s="25">
        <v>6.8000000000000005E-2</v>
      </c>
      <c r="G3" s="15" t="s">
        <v>825</v>
      </c>
      <c r="H3" s="9" t="s">
        <v>826</v>
      </c>
      <c r="I3" s="3">
        <v>9.5000000000000001E-2</v>
      </c>
      <c r="J3" s="19" t="s">
        <v>827</v>
      </c>
      <c r="K3" s="18" t="s">
        <v>828</v>
      </c>
      <c r="L3" s="46">
        <v>9.0999999999999998E-2</v>
      </c>
      <c r="M3" s="10" t="s">
        <v>159</v>
      </c>
      <c r="N3" s="17" t="s">
        <v>160</v>
      </c>
      <c r="O3" s="3">
        <v>9.5000000000000001E-2</v>
      </c>
      <c r="P3" s="19" t="s">
        <v>161</v>
      </c>
      <c r="Q3" s="18" t="s">
        <v>162</v>
      </c>
      <c r="R3" s="133">
        <v>8.6900000000000005E-2</v>
      </c>
      <c r="S3" s="15" t="s">
        <v>163</v>
      </c>
      <c r="T3" s="9" t="s">
        <v>164</v>
      </c>
      <c r="U3" s="3">
        <v>8.2500000000000004E-2</v>
      </c>
      <c r="V3" s="43" t="s">
        <v>176</v>
      </c>
      <c r="W3" s="44" t="s">
        <v>177</v>
      </c>
      <c r="X3" s="3">
        <v>8.2500000000000004E-2</v>
      </c>
      <c r="Y3" s="15" t="s">
        <v>231</v>
      </c>
      <c r="Z3" s="9" t="s">
        <v>232</v>
      </c>
      <c r="AA3" s="3">
        <v>0.1429</v>
      </c>
      <c r="AB3" s="15" t="s">
        <v>211</v>
      </c>
      <c r="AC3" s="9" t="s">
        <v>212</v>
      </c>
      <c r="AD3" s="3">
        <v>0.125</v>
      </c>
      <c r="AE3" s="83" t="s">
        <v>1115</v>
      </c>
      <c r="AF3" s="82" t="s">
        <v>1116</v>
      </c>
      <c r="AG3" s="3">
        <v>0.1429</v>
      </c>
      <c r="AH3" s="83" t="s">
        <v>1117</v>
      </c>
      <c r="AI3" s="82" t="s">
        <v>1118</v>
      </c>
      <c r="AJ3" s="3">
        <v>0.1429</v>
      </c>
      <c r="AK3" s="83" t="s">
        <v>394</v>
      </c>
      <c r="AL3" s="82" t="s">
        <v>395</v>
      </c>
      <c r="AM3" s="3">
        <v>0.125</v>
      </c>
      <c r="AN3" s="26" t="s">
        <v>425</v>
      </c>
      <c r="AO3" s="3">
        <v>0.125</v>
      </c>
      <c r="AP3" s="83" t="s">
        <v>1119</v>
      </c>
      <c r="AQ3" s="82" t="s">
        <v>1120</v>
      </c>
      <c r="AR3" s="3">
        <v>0.125</v>
      </c>
      <c r="AS3" s="13" t="s">
        <v>153</v>
      </c>
      <c r="AT3" s="11" t="s">
        <v>154</v>
      </c>
      <c r="AU3" s="3">
        <v>0.125</v>
      </c>
      <c r="AV3" s="78" t="s">
        <v>1121</v>
      </c>
      <c r="AW3" s="81" t="s">
        <v>1122</v>
      </c>
      <c r="AX3" s="14">
        <v>0.10150000000000001</v>
      </c>
      <c r="AY3" s="136" t="s">
        <v>1111</v>
      </c>
      <c r="AZ3" s="136" t="s">
        <v>1112</v>
      </c>
      <c r="BA3" s="129">
        <v>0.1106</v>
      </c>
      <c r="BB3" s="82" t="s">
        <v>1123</v>
      </c>
      <c r="BC3" s="82" t="s">
        <v>1124</v>
      </c>
      <c r="BD3" s="128">
        <v>0.11700000000000001</v>
      </c>
      <c r="BE3" s="82" t="s">
        <v>1125</v>
      </c>
      <c r="BF3" s="82" t="s">
        <v>1126</v>
      </c>
      <c r="BG3" s="127">
        <v>0.12820000000000001</v>
      </c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</row>
    <row r="4" spans="1:71" x14ac:dyDescent="0.2">
      <c r="A4" s="9" t="s">
        <v>830</v>
      </c>
      <c r="B4" s="9" t="s">
        <v>831</v>
      </c>
      <c r="C4" s="3">
        <v>7.7499999999999999E-2</v>
      </c>
      <c r="D4" s="15" t="s">
        <v>832</v>
      </c>
      <c r="E4" s="15" t="s">
        <v>833</v>
      </c>
      <c r="F4" s="25">
        <v>6.8000000000000005E-2</v>
      </c>
      <c r="G4" s="15" t="s">
        <v>834</v>
      </c>
      <c r="H4" s="9" t="s">
        <v>835</v>
      </c>
      <c r="I4" s="3">
        <v>9.5000000000000001E-2</v>
      </c>
      <c r="J4" s="12" t="s">
        <v>144</v>
      </c>
      <c r="K4" s="5" t="s">
        <v>145</v>
      </c>
      <c r="L4" s="3">
        <v>0.10009999999999999</v>
      </c>
      <c r="M4" s="26" t="s">
        <v>195</v>
      </c>
      <c r="N4" s="4" t="s">
        <v>196</v>
      </c>
      <c r="O4" s="3">
        <v>0.12</v>
      </c>
      <c r="P4" s="12" t="s">
        <v>195</v>
      </c>
      <c r="Q4" s="5" t="s">
        <v>196</v>
      </c>
      <c r="R4" s="3">
        <v>0.10630000000000001</v>
      </c>
      <c r="S4" s="15" t="s">
        <v>178</v>
      </c>
      <c r="T4" s="9" t="s">
        <v>179</v>
      </c>
      <c r="U4" s="3">
        <v>8.2500000000000004E-2</v>
      </c>
      <c r="V4" s="43" t="s">
        <v>193</v>
      </c>
      <c r="W4" s="44" t="s">
        <v>194</v>
      </c>
      <c r="X4" s="3">
        <v>8.2500000000000004E-2</v>
      </c>
      <c r="Y4" s="13" t="s">
        <v>253</v>
      </c>
      <c r="Z4" s="98" t="s">
        <v>254</v>
      </c>
      <c r="AA4" s="3">
        <v>0.1429</v>
      </c>
      <c r="AB4" s="12" t="s">
        <v>1102</v>
      </c>
      <c r="AC4" s="5" t="s">
        <v>1103</v>
      </c>
      <c r="AD4" s="3">
        <v>0.125</v>
      </c>
      <c r="AE4" s="83" t="s">
        <v>1127</v>
      </c>
      <c r="AF4" s="82" t="s">
        <v>1128</v>
      </c>
      <c r="AG4" s="3">
        <v>0.1429</v>
      </c>
      <c r="AH4" s="83" t="s">
        <v>1129</v>
      </c>
      <c r="AI4" s="82" t="s">
        <v>1130</v>
      </c>
      <c r="AJ4" s="3">
        <v>0.1429</v>
      </c>
      <c r="AK4" s="83" t="s">
        <v>407</v>
      </c>
      <c r="AL4" s="82" t="s">
        <v>408</v>
      </c>
      <c r="AM4" s="3">
        <v>0.125</v>
      </c>
      <c r="AN4" s="26" t="s">
        <v>1120</v>
      </c>
      <c r="AO4" s="3">
        <v>0.125</v>
      </c>
      <c r="AP4" s="83" t="s">
        <v>456</v>
      </c>
      <c r="AQ4" s="82" t="s">
        <v>457</v>
      </c>
      <c r="AR4" s="3">
        <v>0.125</v>
      </c>
      <c r="AS4" s="12" t="s">
        <v>1121</v>
      </c>
      <c r="AT4" s="5" t="s">
        <v>1122</v>
      </c>
      <c r="AU4" s="3">
        <v>0.125</v>
      </c>
      <c r="AV4" s="135" t="s">
        <v>1131</v>
      </c>
      <c r="AW4" s="131" t="s">
        <v>1132</v>
      </c>
      <c r="AX4" s="14">
        <v>0.10150000000000001</v>
      </c>
      <c r="AY4" s="71" t="s">
        <v>1123</v>
      </c>
      <c r="AZ4" s="71" t="s">
        <v>1124</v>
      </c>
      <c r="BA4" s="129">
        <v>0.1106</v>
      </c>
      <c r="BB4" s="82" t="s">
        <v>1133</v>
      </c>
      <c r="BC4" s="82" t="s">
        <v>1134</v>
      </c>
      <c r="BD4" s="128">
        <v>0.11700000000000001</v>
      </c>
      <c r="BE4" s="82" t="s">
        <v>1135</v>
      </c>
      <c r="BF4" s="82" t="s">
        <v>1136</v>
      </c>
      <c r="BG4" s="127">
        <v>0.12820000000000001</v>
      </c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</row>
    <row r="5" spans="1:71" x14ac:dyDescent="0.2">
      <c r="A5" s="5" t="s">
        <v>814</v>
      </c>
      <c r="B5" s="5" t="s">
        <v>815</v>
      </c>
      <c r="C5" s="3">
        <v>8.4500000000000006E-2</v>
      </c>
      <c r="D5" s="12" t="s">
        <v>837</v>
      </c>
      <c r="E5" s="12" t="s">
        <v>817</v>
      </c>
      <c r="F5" s="3">
        <v>9.5200000000000007E-2</v>
      </c>
      <c r="G5" s="13" t="s">
        <v>818</v>
      </c>
      <c r="H5" s="11" t="s">
        <v>819</v>
      </c>
      <c r="I5" s="3">
        <v>0.10249999999999999</v>
      </c>
      <c r="J5" s="12" t="s">
        <v>159</v>
      </c>
      <c r="K5" s="5" t="s">
        <v>160</v>
      </c>
      <c r="L5" s="3">
        <v>0.10009999999999999</v>
      </c>
      <c r="M5" s="95" t="s">
        <v>163</v>
      </c>
      <c r="N5" s="75" t="s">
        <v>164</v>
      </c>
      <c r="O5" s="76">
        <v>0.12</v>
      </c>
      <c r="P5" s="94" t="s">
        <v>163</v>
      </c>
      <c r="Q5" s="93" t="s">
        <v>164</v>
      </c>
      <c r="R5" s="76">
        <v>0.10630000000000001</v>
      </c>
      <c r="S5" s="94" t="s">
        <v>180</v>
      </c>
      <c r="T5" s="93" t="s">
        <v>181</v>
      </c>
      <c r="U5" s="3">
        <v>0.1075</v>
      </c>
      <c r="V5" s="12" t="s">
        <v>213</v>
      </c>
      <c r="W5" s="5" t="s">
        <v>214</v>
      </c>
      <c r="X5" s="3">
        <v>0.1075</v>
      </c>
      <c r="Y5" s="12" t="s">
        <v>211</v>
      </c>
      <c r="Z5" s="5" t="s">
        <v>212</v>
      </c>
      <c r="AA5" s="3">
        <v>0.1429</v>
      </c>
      <c r="AB5" s="12" t="s">
        <v>1115</v>
      </c>
      <c r="AC5" s="5" t="s">
        <v>1116</v>
      </c>
      <c r="AD5" s="3">
        <v>0.125</v>
      </c>
      <c r="AE5" s="12" t="s">
        <v>1117</v>
      </c>
      <c r="AF5" s="5" t="s">
        <v>1118</v>
      </c>
      <c r="AG5" s="3">
        <v>0.1429</v>
      </c>
      <c r="AH5" s="12" t="s">
        <v>1104</v>
      </c>
      <c r="AI5" s="5" t="s">
        <v>1105</v>
      </c>
      <c r="AJ5" s="3">
        <v>0.1429</v>
      </c>
      <c r="AK5" s="83" t="s">
        <v>255</v>
      </c>
      <c r="AL5" s="82" t="s">
        <v>256</v>
      </c>
      <c r="AM5" s="3">
        <v>0.125</v>
      </c>
      <c r="AN5" s="26" t="s">
        <v>457</v>
      </c>
      <c r="AO5" s="3">
        <v>0.125</v>
      </c>
      <c r="AP5" s="15" t="s">
        <v>426</v>
      </c>
      <c r="AQ5" s="9" t="s">
        <v>427</v>
      </c>
      <c r="AR5" s="3">
        <v>0.125</v>
      </c>
      <c r="AS5" s="13" t="s">
        <v>1131</v>
      </c>
      <c r="AT5" s="11" t="s">
        <v>1132</v>
      </c>
      <c r="AU5" s="3">
        <v>0.125</v>
      </c>
      <c r="AV5" s="20" t="s">
        <v>1109</v>
      </c>
      <c r="AW5" s="23" t="s">
        <v>1110</v>
      </c>
      <c r="AX5" s="14">
        <v>0.10150000000000001</v>
      </c>
      <c r="AY5" s="71" t="s">
        <v>1133</v>
      </c>
      <c r="AZ5" s="71" t="s">
        <v>1134</v>
      </c>
      <c r="BA5" s="129">
        <v>0.1106</v>
      </c>
      <c r="BB5" s="5" t="s">
        <v>1113</v>
      </c>
      <c r="BC5" s="5" t="s">
        <v>1114</v>
      </c>
      <c r="BD5" s="128">
        <v>0.11700000000000001</v>
      </c>
      <c r="BE5" s="5" t="s">
        <v>1137</v>
      </c>
      <c r="BF5" s="5" t="s">
        <v>1138</v>
      </c>
      <c r="BG5" s="127">
        <v>0.1026</v>
      </c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</row>
    <row r="6" spans="1:71" x14ac:dyDescent="0.2">
      <c r="A6" s="5" t="s">
        <v>823</v>
      </c>
      <c r="B6" s="5" t="s">
        <v>824</v>
      </c>
      <c r="C6" s="3">
        <v>8.4500000000000006E-2</v>
      </c>
      <c r="D6" s="12" t="s">
        <v>825</v>
      </c>
      <c r="E6" s="12" t="s">
        <v>826</v>
      </c>
      <c r="F6" s="3">
        <v>9.5200000000000007E-2</v>
      </c>
      <c r="G6" s="13" t="s">
        <v>827</v>
      </c>
      <c r="H6" s="11" t="s">
        <v>828</v>
      </c>
      <c r="I6" s="3">
        <v>0.10249999999999999</v>
      </c>
      <c r="J6" s="13" t="s">
        <v>146</v>
      </c>
      <c r="K6" s="11" t="s">
        <v>147</v>
      </c>
      <c r="L6" s="46">
        <v>0.1236</v>
      </c>
      <c r="M6" s="26" t="s">
        <v>178</v>
      </c>
      <c r="N6" s="75" t="s">
        <v>179</v>
      </c>
      <c r="O6" s="3">
        <v>0.12</v>
      </c>
      <c r="P6" s="12" t="s">
        <v>178</v>
      </c>
      <c r="Q6" s="5" t="s">
        <v>179</v>
      </c>
      <c r="R6" s="3">
        <v>0.10630000000000001</v>
      </c>
      <c r="S6" s="12" t="s">
        <v>176</v>
      </c>
      <c r="T6" s="5" t="s">
        <v>177</v>
      </c>
      <c r="U6" s="3">
        <v>0.1075</v>
      </c>
      <c r="V6" s="12" t="s">
        <v>231</v>
      </c>
      <c r="W6" s="5" t="s">
        <v>232</v>
      </c>
      <c r="X6" s="3">
        <v>0.1075</v>
      </c>
      <c r="Y6" s="12" t="s">
        <v>197</v>
      </c>
      <c r="Z6" s="93" t="s">
        <v>198</v>
      </c>
      <c r="AA6" s="3">
        <v>0.1429</v>
      </c>
      <c r="AB6" s="12" t="s">
        <v>1127</v>
      </c>
      <c r="AC6" s="5" t="s">
        <v>1128</v>
      </c>
      <c r="AD6" s="3">
        <v>0.125</v>
      </c>
      <c r="AE6" s="12" t="s">
        <v>1129</v>
      </c>
      <c r="AF6" s="5" t="s">
        <v>1130</v>
      </c>
      <c r="AG6" s="3">
        <v>0.1429</v>
      </c>
      <c r="AH6" s="12" t="s">
        <v>255</v>
      </c>
      <c r="AI6" s="5" t="s">
        <v>256</v>
      </c>
      <c r="AJ6" s="3">
        <v>0.1429</v>
      </c>
      <c r="AK6" s="12" t="s">
        <v>1139</v>
      </c>
      <c r="AL6" s="5" t="s">
        <v>1106</v>
      </c>
      <c r="AM6" s="3">
        <v>0.125</v>
      </c>
      <c r="AN6" s="78" t="s">
        <v>1140</v>
      </c>
      <c r="AO6" s="3">
        <v>0.125</v>
      </c>
      <c r="AP6" s="15" t="s">
        <v>443</v>
      </c>
      <c r="AQ6" s="9" t="s">
        <v>444</v>
      </c>
      <c r="AR6" s="3">
        <v>0.125</v>
      </c>
      <c r="AS6" s="13" t="s">
        <v>1109</v>
      </c>
      <c r="AT6" s="11" t="s">
        <v>1110</v>
      </c>
      <c r="AU6" s="3">
        <v>0.125</v>
      </c>
      <c r="AV6" s="20" t="s">
        <v>1111</v>
      </c>
      <c r="AW6" s="23" t="s">
        <v>1112</v>
      </c>
      <c r="AX6" s="14">
        <v>0.10150000000000001</v>
      </c>
      <c r="AY6" s="5" t="s">
        <v>1113</v>
      </c>
      <c r="AZ6" s="5" t="s">
        <v>1114</v>
      </c>
      <c r="BA6" s="129">
        <v>8.5400000000000004E-2</v>
      </c>
      <c r="BB6" s="5" t="s">
        <v>1125</v>
      </c>
      <c r="BC6" s="5" t="s">
        <v>1126</v>
      </c>
      <c r="BD6" s="128">
        <v>0.11700000000000001</v>
      </c>
      <c r="BE6" s="5" t="s">
        <v>1141</v>
      </c>
      <c r="BF6" s="5" t="s">
        <v>1142</v>
      </c>
      <c r="BG6" s="127">
        <v>0.1026</v>
      </c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</row>
    <row r="7" spans="1:71" x14ac:dyDescent="0.2">
      <c r="A7" s="5" t="s">
        <v>832</v>
      </c>
      <c r="B7" s="5" t="s">
        <v>833</v>
      </c>
      <c r="C7" s="3">
        <v>8.4500000000000006E-2</v>
      </c>
      <c r="D7" s="12" t="s">
        <v>834</v>
      </c>
      <c r="E7" s="12" t="s">
        <v>835</v>
      </c>
      <c r="F7" s="3">
        <v>9.5200000000000007E-2</v>
      </c>
      <c r="G7" s="12" t="s">
        <v>144</v>
      </c>
      <c r="H7" s="5" t="s">
        <v>145</v>
      </c>
      <c r="I7" s="3">
        <v>0.1275</v>
      </c>
      <c r="J7" s="13" t="s">
        <v>161</v>
      </c>
      <c r="K7" s="11" t="s">
        <v>162</v>
      </c>
      <c r="L7" s="46">
        <v>0.1236</v>
      </c>
      <c r="M7" s="95" t="s">
        <v>180</v>
      </c>
      <c r="N7" s="4" t="s">
        <v>181</v>
      </c>
      <c r="O7" s="76">
        <v>0.15</v>
      </c>
      <c r="P7" s="94" t="s">
        <v>180</v>
      </c>
      <c r="Q7" s="93" t="s">
        <v>181</v>
      </c>
      <c r="R7" s="76">
        <v>0.10630000000000001</v>
      </c>
      <c r="S7" s="12" t="s">
        <v>193</v>
      </c>
      <c r="T7" s="93" t="s">
        <v>194</v>
      </c>
      <c r="U7" s="3">
        <v>0.1075</v>
      </c>
      <c r="V7" s="12" t="s">
        <v>253</v>
      </c>
      <c r="W7" s="5" t="s">
        <v>254</v>
      </c>
      <c r="X7" s="3">
        <v>0.1075</v>
      </c>
      <c r="Y7" s="12" t="s">
        <v>215</v>
      </c>
      <c r="Z7" s="5" t="s">
        <v>216</v>
      </c>
      <c r="AA7" s="3">
        <v>0.1429</v>
      </c>
      <c r="AB7" s="12" t="s">
        <v>1117</v>
      </c>
      <c r="AC7" s="5" t="s">
        <v>1118</v>
      </c>
      <c r="AD7" s="3">
        <v>0.125</v>
      </c>
      <c r="AE7" s="12" t="s">
        <v>1104</v>
      </c>
      <c r="AF7" s="5" t="s">
        <v>1105</v>
      </c>
      <c r="AG7" s="3">
        <v>0.1429</v>
      </c>
      <c r="AH7" s="12" t="s">
        <v>394</v>
      </c>
      <c r="AI7" s="5" t="s">
        <v>395</v>
      </c>
      <c r="AJ7" s="3">
        <v>0.1429</v>
      </c>
      <c r="AK7" s="12" t="s">
        <v>424</v>
      </c>
      <c r="AL7" s="5" t="s">
        <v>425</v>
      </c>
      <c r="AM7" s="3">
        <v>0.125</v>
      </c>
      <c r="AN7" s="78" t="s">
        <v>1143</v>
      </c>
      <c r="AO7" s="3">
        <v>0.125</v>
      </c>
      <c r="AP7" s="15" t="s">
        <v>458</v>
      </c>
      <c r="AQ7" s="9" t="s">
        <v>459</v>
      </c>
      <c r="AR7" s="3">
        <v>0.125</v>
      </c>
      <c r="AS7" s="13" t="s">
        <v>1111</v>
      </c>
      <c r="AT7" s="11" t="s">
        <v>1112</v>
      </c>
      <c r="AU7" s="3">
        <v>0.125</v>
      </c>
      <c r="AV7" s="26" t="s">
        <v>1123</v>
      </c>
      <c r="AW7" s="4" t="s">
        <v>1124</v>
      </c>
      <c r="AX7" s="14">
        <v>0.10150000000000001</v>
      </c>
      <c r="AY7" s="5" t="s">
        <v>1125</v>
      </c>
      <c r="AZ7" s="5" t="s">
        <v>1126</v>
      </c>
      <c r="BA7" s="129">
        <v>8.5400000000000004E-2</v>
      </c>
      <c r="BB7" s="5" t="s">
        <v>1135</v>
      </c>
      <c r="BC7" s="5" t="s">
        <v>1136</v>
      </c>
      <c r="BD7" s="128">
        <v>0.11700000000000001</v>
      </c>
      <c r="BE7" s="5" t="s">
        <v>1144</v>
      </c>
      <c r="BF7" s="5" t="s">
        <v>1145</v>
      </c>
      <c r="BG7" s="127">
        <v>0.1026</v>
      </c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</row>
    <row r="8" spans="1:71" x14ac:dyDescent="0.2">
      <c r="A8" s="11" t="s">
        <v>818</v>
      </c>
      <c r="B8" s="11" t="s">
        <v>819</v>
      </c>
      <c r="C8" s="3">
        <v>8.4500000000000006E-2</v>
      </c>
      <c r="D8" s="13" t="s">
        <v>818</v>
      </c>
      <c r="E8" s="13" t="s">
        <v>819</v>
      </c>
      <c r="F8" s="46">
        <v>0.12759999999999999</v>
      </c>
      <c r="G8" s="12" t="s">
        <v>159</v>
      </c>
      <c r="H8" s="5" t="s">
        <v>160</v>
      </c>
      <c r="I8" s="3">
        <v>0.1275</v>
      </c>
      <c r="J8" s="12" t="s">
        <v>163</v>
      </c>
      <c r="K8" s="5" t="s">
        <v>164</v>
      </c>
      <c r="L8" s="3">
        <v>0.1236</v>
      </c>
      <c r="M8" s="20" t="s">
        <v>146</v>
      </c>
      <c r="N8" s="23" t="s">
        <v>147</v>
      </c>
      <c r="O8" s="3">
        <v>0.15</v>
      </c>
      <c r="P8" s="12" t="s">
        <v>176</v>
      </c>
      <c r="Q8" s="5" t="s">
        <v>177</v>
      </c>
      <c r="R8" s="3">
        <v>0.13370000000000001</v>
      </c>
      <c r="S8" s="12" t="s">
        <v>213</v>
      </c>
      <c r="T8" s="5" t="s">
        <v>214</v>
      </c>
      <c r="U8" s="3">
        <v>0.1075</v>
      </c>
      <c r="V8" s="12" t="s">
        <v>211</v>
      </c>
      <c r="W8" s="5" t="s">
        <v>212</v>
      </c>
      <c r="X8" s="3">
        <v>0.1075</v>
      </c>
      <c r="Y8" s="12" t="s">
        <v>233</v>
      </c>
      <c r="Z8" s="93" t="s">
        <v>234</v>
      </c>
      <c r="AA8" s="3">
        <v>0.1429</v>
      </c>
      <c r="AB8" s="12" t="s">
        <v>1129</v>
      </c>
      <c r="AC8" s="5" t="s">
        <v>1130</v>
      </c>
      <c r="AD8" s="3">
        <v>0.125</v>
      </c>
      <c r="AE8" s="12" t="s">
        <v>255</v>
      </c>
      <c r="AF8" s="5" t="s">
        <v>256</v>
      </c>
      <c r="AG8" s="3">
        <v>0.1429</v>
      </c>
      <c r="AH8" s="12" t="s">
        <v>407</v>
      </c>
      <c r="AI8" s="5" t="s">
        <v>408</v>
      </c>
      <c r="AJ8" s="3">
        <v>0.1429</v>
      </c>
      <c r="AK8" s="12" t="s">
        <v>1119</v>
      </c>
      <c r="AL8" s="5" t="s">
        <v>1120</v>
      </c>
      <c r="AM8" s="3">
        <v>0.125</v>
      </c>
      <c r="AN8" s="78" t="s">
        <v>1146</v>
      </c>
      <c r="AO8" s="3">
        <v>0.125</v>
      </c>
      <c r="AP8" s="13" t="s">
        <v>1107</v>
      </c>
      <c r="AQ8" s="11" t="s">
        <v>1108</v>
      </c>
      <c r="AR8" s="3">
        <v>0.125</v>
      </c>
      <c r="AS8" s="12" t="s">
        <v>1123</v>
      </c>
      <c r="AT8" s="5" t="s">
        <v>1124</v>
      </c>
      <c r="AU8" s="3">
        <v>0.125</v>
      </c>
      <c r="AV8" s="26" t="s">
        <v>1133</v>
      </c>
      <c r="AW8" s="4" t="s">
        <v>1134</v>
      </c>
      <c r="AX8" s="14">
        <v>0.10150000000000001</v>
      </c>
      <c r="AY8" s="5" t="s">
        <v>1135</v>
      </c>
      <c r="AZ8" s="5" t="s">
        <v>1136</v>
      </c>
      <c r="BA8" s="129">
        <v>8.5400000000000004E-2</v>
      </c>
      <c r="BB8" s="5" t="s">
        <v>1147</v>
      </c>
      <c r="BC8" s="5" t="s">
        <v>1148</v>
      </c>
      <c r="BD8" s="128">
        <v>9.9400000000000002E-2</v>
      </c>
      <c r="BE8" s="5" t="s">
        <v>1147</v>
      </c>
      <c r="BF8" s="5" t="s">
        <v>1148</v>
      </c>
      <c r="BG8" s="127">
        <v>0.1026</v>
      </c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</row>
    <row r="9" spans="1:71" x14ac:dyDescent="0.2">
      <c r="A9" s="11" t="s">
        <v>827</v>
      </c>
      <c r="B9" s="11" t="s">
        <v>828</v>
      </c>
      <c r="C9" s="3">
        <v>8.4500000000000006E-2</v>
      </c>
      <c r="D9" s="13" t="s">
        <v>827</v>
      </c>
      <c r="E9" s="13" t="s">
        <v>828</v>
      </c>
      <c r="F9" s="46">
        <v>0.12759999999999999</v>
      </c>
      <c r="G9" s="12" t="s">
        <v>146</v>
      </c>
      <c r="H9" s="5" t="s">
        <v>147</v>
      </c>
      <c r="I9" s="3">
        <v>0.1275</v>
      </c>
      <c r="J9" s="12" t="s">
        <v>178</v>
      </c>
      <c r="K9" s="5" t="s">
        <v>179</v>
      </c>
      <c r="L9" s="3">
        <v>0.1236</v>
      </c>
      <c r="M9" s="79" t="s">
        <v>161</v>
      </c>
      <c r="N9" s="23" t="s">
        <v>162</v>
      </c>
      <c r="O9" s="76">
        <v>0.15</v>
      </c>
      <c r="P9" s="94" t="s">
        <v>193</v>
      </c>
      <c r="Q9" s="93" t="s">
        <v>194</v>
      </c>
      <c r="R9" s="76">
        <v>0.13370000000000001</v>
      </c>
      <c r="S9" s="12" t="s">
        <v>231</v>
      </c>
      <c r="T9" s="93" t="s">
        <v>232</v>
      </c>
      <c r="U9" s="3">
        <v>0.1075</v>
      </c>
      <c r="V9" s="12" t="s">
        <v>197</v>
      </c>
      <c r="W9" s="5" t="s">
        <v>198</v>
      </c>
      <c r="X9" s="3">
        <v>0.1075</v>
      </c>
      <c r="Y9" s="105" t="s">
        <v>916</v>
      </c>
      <c r="Z9" s="104" t="s">
        <v>917</v>
      </c>
      <c r="AA9" s="70">
        <f>SUM(AA2:AA3)</f>
        <v>0.2858</v>
      </c>
      <c r="AB9" s="5" t="s">
        <v>1104</v>
      </c>
      <c r="AC9" s="5" t="s">
        <v>1105</v>
      </c>
      <c r="AD9" s="3">
        <v>0.125</v>
      </c>
      <c r="AE9" s="105" t="s">
        <v>918</v>
      </c>
      <c r="AF9" s="104" t="s">
        <v>919</v>
      </c>
      <c r="AG9" s="70">
        <f>SUM(AG2:AG8)</f>
        <v>1.0003</v>
      </c>
      <c r="AH9" s="104" t="s">
        <v>916</v>
      </c>
      <c r="AI9" s="104" t="s">
        <v>917</v>
      </c>
      <c r="AJ9" s="70">
        <f>SUM(AJ2)</f>
        <v>0.1429</v>
      </c>
      <c r="AK9" s="5" t="s">
        <v>456</v>
      </c>
      <c r="AL9" s="5" t="s">
        <v>457</v>
      </c>
      <c r="AM9" s="3">
        <v>0.125</v>
      </c>
      <c r="AN9" s="20" t="s">
        <v>1108</v>
      </c>
      <c r="AO9" s="3">
        <v>0.125</v>
      </c>
      <c r="AP9" s="13" t="s">
        <v>1109</v>
      </c>
      <c r="AQ9" s="11" t="s">
        <v>1110</v>
      </c>
      <c r="AR9" s="3">
        <v>0.125</v>
      </c>
      <c r="AS9" s="12" t="s">
        <v>1133</v>
      </c>
      <c r="AT9" s="5" t="s">
        <v>1134</v>
      </c>
      <c r="AU9" s="3">
        <v>0.125</v>
      </c>
      <c r="AV9" s="26" t="s">
        <v>1147</v>
      </c>
      <c r="AW9" s="4" t="s">
        <v>1148</v>
      </c>
      <c r="AX9" s="14">
        <v>9.64E-2</v>
      </c>
      <c r="AY9" s="5" t="s">
        <v>1147</v>
      </c>
      <c r="AZ9" s="5" t="s">
        <v>1148</v>
      </c>
      <c r="BA9" s="129">
        <v>0.10050000000000001</v>
      </c>
      <c r="BB9" s="5" t="s">
        <v>1149</v>
      </c>
      <c r="BC9" s="5" t="s">
        <v>1150</v>
      </c>
      <c r="BD9" s="128">
        <v>9.9400000000000002E-2</v>
      </c>
      <c r="BE9" s="5" t="s">
        <v>1149</v>
      </c>
      <c r="BF9" s="5" t="s">
        <v>1150</v>
      </c>
      <c r="BG9" s="127">
        <v>0.1026</v>
      </c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</row>
    <row r="10" spans="1:71" x14ac:dyDescent="0.2">
      <c r="A10" s="5" t="s">
        <v>837</v>
      </c>
      <c r="B10" s="5" t="s">
        <v>817</v>
      </c>
      <c r="C10" s="3">
        <v>0.115</v>
      </c>
      <c r="D10" s="12" t="s">
        <v>144</v>
      </c>
      <c r="E10" s="12" t="s">
        <v>145</v>
      </c>
      <c r="F10" s="3">
        <v>0.12759999999999999</v>
      </c>
      <c r="G10" s="12" t="s">
        <v>161</v>
      </c>
      <c r="H10" s="5" t="s">
        <v>162</v>
      </c>
      <c r="I10" s="3">
        <v>0.1275</v>
      </c>
      <c r="J10" s="12" t="s">
        <v>195</v>
      </c>
      <c r="K10" s="5" t="s">
        <v>196</v>
      </c>
      <c r="L10" s="3">
        <v>0.1236</v>
      </c>
      <c r="M10" s="105" t="s">
        <v>916</v>
      </c>
      <c r="N10" s="104" t="s">
        <v>917</v>
      </c>
      <c r="O10" s="70">
        <f>SUM(O2:O3)</f>
        <v>0.19</v>
      </c>
      <c r="P10" s="5" t="s">
        <v>211</v>
      </c>
      <c r="Q10" s="5" t="s">
        <v>212</v>
      </c>
      <c r="R10" s="3">
        <v>0.13370000000000001</v>
      </c>
      <c r="S10" s="12" t="s">
        <v>253</v>
      </c>
      <c r="T10" s="5" t="s">
        <v>254</v>
      </c>
      <c r="U10" s="3">
        <v>0.1075</v>
      </c>
      <c r="V10" s="12" t="s">
        <v>215</v>
      </c>
      <c r="W10" s="5" t="s">
        <v>216</v>
      </c>
      <c r="X10" s="3">
        <v>0.1075</v>
      </c>
      <c r="Y10" s="105" t="s">
        <v>918</v>
      </c>
      <c r="Z10" s="104" t="s">
        <v>919</v>
      </c>
      <c r="AA10" s="70">
        <f>SUM(AA4:AA8)</f>
        <v>0.71450000000000002</v>
      </c>
      <c r="AB10" s="104" t="s">
        <v>916</v>
      </c>
      <c r="AC10" s="104" t="s">
        <v>917</v>
      </c>
      <c r="AD10" s="70">
        <f>SUM(AD2)</f>
        <v>0.125</v>
      </c>
      <c r="AE10" s="61"/>
      <c r="AF10" s="61" t="s">
        <v>744</v>
      </c>
      <c r="AG10" s="74">
        <f>SUM(AG9)</f>
        <v>1.0003</v>
      </c>
      <c r="AH10" s="104" t="s">
        <v>918</v>
      </c>
      <c r="AI10" s="104" t="s">
        <v>919</v>
      </c>
      <c r="AJ10" s="70">
        <f>SUM(AJ3:AJ8)</f>
        <v>0.85740000000000005</v>
      </c>
      <c r="AK10" s="104" t="s">
        <v>916</v>
      </c>
      <c r="AL10" s="104" t="s">
        <v>917</v>
      </c>
      <c r="AM10" s="70">
        <f>SUM(AM2:AM5)</f>
        <v>0.5</v>
      </c>
      <c r="AN10" s="104" t="s">
        <v>917</v>
      </c>
      <c r="AO10" s="70">
        <f>SUM(AO6:AO8,AO2)</f>
        <v>0.5</v>
      </c>
      <c r="AP10" s="104" t="s">
        <v>916</v>
      </c>
      <c r="AQ10" s="104" t="s">
        <v>917</v>
      </c>
      <c r="AR10" s="70">
        <f>SUM(AR2:AR4)</f>
        <v>0.375</v>
      </c>
      <c r="AS10" s="105" t="s">
        <v>916</v>
      </c>
      <c r="AT10" s="104" t="s">
        <v>917</v>
      </c>
      <c r="AU10" s="70">
        <f>SUM(AU2)</f>
        <v>0.125</v>
      </c>
      <c r="AV10" s="4" t="s">
        <v>1149</v>
      </c>
      <c r="AW10" s="4" t="s">
        <v>1150</v>
      </c>
      <c r="AX10" s="14">
        <v>9.64E-2</v>
      </c>
      <c r="AY10" s="5" t="s">
        <v>1149</v>
      </c>
      <c r="AZ10" s="5" t="s">
        <v>1150</v>
      </c>
      <c r="BA10" s="129">
        <v>0.10050000000000001</v>
      </c>
      <c r="BB10" s="5" t="s">
        <v>1151</v>
      </c>
      <c r="BC10" s="5" t="s">
        <v>1152</v>
      </c>
      <c r="BD10" s="128">
        <v>9.9400000000000002E-2</v>
      </c>
      <c r="BE10" s="5" t="s">
        <v>1151</v>
      </c>
      <c r="BF10" s="5" t="s">
        <v>1152</v>
      </c>
      <c r="BG10" s="127">
        <v>0.1026</v>
      </c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</row>
    <row r="11" spans="1:71" x14ac:dyDescent="0.2">
      <c r="A11" s="5" t="s">
        <v>825</v>
      </c>
      <c r="B11" s="5" t="s">
        <v>826</v>
      </c>
      <c r="C11" s="3">
        <v>0.115</v>
      </c>
      <c r="D11" s="12" t="s">
        <v>159</v>
      </c>
      <c r="E11" s="12" t="s">
        <v>160</v>
      </c>
      <c r="F11" s="3">
        <v>0.12759999999999999</v>
      </c>
      <c r="G11" s="105" t="s">
        <v>916</v>
      </c>
      <c r="H11" s="104" t="s">
        <v>917</v>
      </c>
      <c r="I11" s="70">
        <f>SUM(I2:I4)</f>
        <v>0.28500000000000003</v>
      </c>
      <c r="J11" s="105" t="s">
        <v>916</v>
      </c>
      <c r="K11" s="104" t="s">
        <v>917</v>
      </c>
      <c r="L11" s="70">
        <f>SUM(L2:L3)</f>
        <v>0.182</v>
      </c>
      <c r="M11" s="105" t="s">
        <v>918</v>
      </c>
      <c r="N11" s="104" t="s">
        <v>919</v>
      </c>
      <c r="O11" s="70">
        <f>SUM(O4:O9)</f>
        <v>0.81</v>
      </c>
      <c r="P11" s="105" t="s">
        <v>916</v>
      </c>
      <c r="Q11" s="104" t="s">
        <v>917</v>
      </c>
      <c r="R11" s="70">
        <f>SUM(R2:R3)</f>
        <v>0.17380000000000001</v>
      </c>
      <c r="S11" s="12" t="s">
        <v>211</v>
      </c>
      <c r="T11" s="93" t="s">
        <v>212</v>
      </c>
      <c r="U11" s="3">
        <v>0.1075</v>
      </c>
      <c r="V11" s="12" t="s">
        <v>233</v>
      </c>
      <c r="W11" s="5" t="s">
        <v>234</v>
      </c>
      <c r="X11" s="3">
        <v>0.1075</v>
      </c>
      <c r="Y11" s="65"/>
      <c r="Z11" s="61" t="s">
        <v>744</v>
      </c>
      <c r="AA11" s="74">
        <f>SUM(AA9:AA10)</f>
        <v>1.0003</v>
      </c>
      <c r="AB11" s="104" t="s">
        <v>918</v>
      </c>
      <c r="AC11" s="104" t="s">
        <v>919</v>
      </c>
      <c r="AD11" s="70">
        <f>SUM(AD3:AD9)</f>
        <v>0.875</v>
      </c>
      <c r="AH11" s="61"/>
      <c r="AI11" s="61" t="s">
        <v>744</v>
      </c>
      <c r="AJ11" s="74">
        <f>SUM(AJ9:AJ10)</f>
        <v>1.0003</v>
      </c>
      <c r="AK11" s="104" t="s">
        <v>918</v>
      </c>
      <c r="AL11" s="104" t="s">
        <v>919</v>
      </c>
      <c r="AM11" s="70">
        <f>SUM(AM6:AM9)</f>
        <v>0.5</v>
      </c>
      <c r="AN11" s="104" t="s">
        <v>919</v>
      </c>
      <c r="AO11" s="70">
        <f>SUM(AO3:AO5,AO9)</f>
        <v>0.5</v>
      </c>
      <c r="AP11" s="104" t="s">
        <v>918</v>
      </c>
      <c r="AQ11" s="104" t="s">
        <v>919</v>
      </c>
      <c r="AR11" s="70">
        <f>SUM(AR5:AR9)</f>
        <v>0.625</v>
      </c>
      <c r="AS11" s="105" t="s">
        <v>918</v>
      </c>
      <c r="AT11" s="104" t="s">
        <v>919</v>
      </c>
      <c r="AU11" s="70">
        <f>SUM(AU3:AU9)</f>
        <v>0.875</v>
      </c>
      <c r="AV11" s="4" t="s">
        <v>1151</v>
      </c>
      <c r="AW11" s="4" t="s">
        <v>1152</v>
      </c>
      <c r="AX11" s="14">
        <v>9.64E-2</v>
      </c>
      <c r="AY11" s="5" t="s">
        <v>1151</v>
      </c>
      <c r="AZ11" s="5" t="s">
        <v>1152</v>
      </c>
      <c r="BA11" s="129">
        <v>0.10050000000000001</v>
      </c>
      <c r="BB11" s="2" t="s">
        <v>916</v>
      </c>
      <c r="BC11" s="2" t="s">
        <v>917</v>
      </c>
      <c r="BD11" s="124">
        <v>0.35089999999999999</v>
      </c>
      <c r="BE11" s="2" t="s">
        <v>916</v>
      </c>
      <c r="BF11" s="2" t="s">
        <v>917</v>
      </c>
      <c r="BG11" s="113">
        <v>0.38460000000000005</v>
      </c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</row>
    <row r="12" spans="1:71" x14ac:dyDescent="0.2">
      <c r="A12" s="5" t="s">
        <v>834</v>
      </c>
      <c r="B12" s="5" t="s">
        <v>835</v>
      </c>
      <c r="C12" s="3">
        <v>0.115</v>
      </c>
      <c r="D12" s="105" t="s">
        <v>916</v>
      </c>
      <c r="E12" s="104" t="s">
        <v>917</v>
      </c>
      <c r="F12" s="70">
        <f>SUM(F2:F4)</f>
        <v>0.20400000000000001</v>
      </c>
      <c r="G12" s="105" t="s">
        <v>918</v>
      </c>
      <c r="H12" s="104" t="s">
        <v>919</v>
      </c>
      <c r="I12" s="70">
        <f>SUM(I5:I10)</f>
        <v>0.71500000000000008</v>
      </c>
      <c r="J12" s="105" t="s">
        <v>918</v>
      </c>
      <c r="K12" s="104" t="s">
        <v>919</v>
      </c>
      <c r="L12" s="70">
        <f>SUM(L4:L10)</f>
        <v>0.81820000000000004</v>
      </c>
      <c r="M12" s="65"/>
      <c r="N12" s="61" t="s">
        <v>744</v>
      </c>
      <c r="O12" s="74">
        <f>SUM(O10:O11)</f>
        <v>1</v>
      </c>
      <c r="P12" s="105" t="s">
        <v>918</v>
      </c>
      <c r="Q12" s="104" t="s">
        <v>919</v>
      </c>
      <c r="R12" s="70">
        <f>SUM(R4:R10)</f>
        <v>0.82630000000000015</v>
      </c>
      <c r="S12" s="105" t="s">
        <v>916</v>
      </c>
      <c r="T12" s="104" t="s">
        <v>917</v>
      </c>
      <c r="U12" s="70">
        <f>SUM(U2:U4)</f>
        <v>0.2475</v>
      </c>
      <c r="V12" s="105" t="s">
        <v>916</v>
      </c>
      <c r="W12" s="104" t="s">
        <v>917</v>
      </c>
      <c r="X12" s="70">
        <f>SUM(X2:X4)</f>
        <v>0.2475</v>
      </c>
      <c r="AB12" s="61"/>
      <c r="AC12" s="61" t="s">
        <v>744</v>
      </c>
      <c r="AD12" s="74">
        <f>SUM(AD10:AD11)</f>
        <v>1</v>
      </c>
      <c r="AK12" s="61"/>
      <c r="AL12" s="61" t="s">
        <v>744</v>
      </c>
      <c r="AM12" s="74">
        <f>SUM(AM10:AM11)</f>
        <v>1</v>
      </c>
      <c r="AN12" s="61" t="s">
        <v>744</v>
      </c>
      <c r="AO12" s="74">
        <f>SUM(AO10:AO11)</f>
        <v>1</v>
      </c>
      <c r="AP12" s="61"/>
      <c r="AQ12" s="61" t="s">
        <v>744</v>
      </c>
      <c r="AR12" s="74">
        <f>SUM(AR10:AR11)</f>
        <v>1</v>
      </c>
      <c r="AS12" s="65"/>
      <c r="AT12" s="61" t="s">
        <v>744</v>
      </c>
      <c r="AU12" s="74">
        <f>SUM(AU10:AU11)</f>
        <v>1</v>
      </c>
      <c r="AV12" s="104" t="s">
        <v>916</v>
      </c>
      <c r="AW12" s="104" t="s">
        <v>917</v>
      </c>
      <c r="AX12" s="70">
        <f>SUM(AX2:AX4)</f>
        <v>0.30449999999999999</v>
      </c>
      <c r="AY12" s="104" t="s">
        <v>916</v>
      </c>
      <c r="AZ12" s="104" t="s">
        <v>917</v>
      </c>
      <c r="BA12" s="70">
        <f>BA2</f>
        <v>0.1106</v>
      </c>
      <c r="BB12" s="2" t="s">
        <v>918</v>
      </c>
      <c r="BC12" s="2" t="s">
        <v>919</v>
      </c>
      <c r="BD12" s="124">
        <v>0.64910000000000001</v>
      </c>
      <c r="BE12" s="2" t="s">
        <v>918</v>
      </c>
      <c r="BF12" s="2" t="s">
        <v>919</v>
      </c>
      <c r="BG12" s="113">
        <v>0.61560000000000004</v>
      </c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</row>
    <row r="13" spans="1:71" x14ac:dyDescent="0.2">
      <c r="A13" s="105" t="s">
        <v>916</v>
      </c>
      <c r="B13" s="104" t="s">
        <v>917</v>
      </c>
      <c r="C13" s="70">
        <f>SUM(C2:C4)</f>
        <v>0.23249999999999998</v>
      </c>
      <c r="D13" s="105" t="s">
        <v>918</v>
      </c>
      <c r="E13" s="104" t="s">
        <v>919</v>
      </c>
      <c r="F13" s="70">
        <f>SUM(F5:F11)</f>
        <v>0.79599999999999982</v>
      </c>
      <c r="G13" s="65"/>
      <c r="H13" s="61" t="s">
        <v>744</v>
      </c>
      <c r="I13" s="74">
        <f>SUM(I11:I12)</f>
        <v>1</v>
      </c>
      <c r="J13" s="65"/>
      <c r="K13" s="61" t="s">
        <v>744</v>
      </c>
      <c r="L13" s="74">
        <f>SUM(L11:L12)</f>
        <v>1.0002</v>
      </c>
      <c r="P13" s="65"/>
      <c r="Q13" s="61" t="s">
        <v>744</v>
      </c>
      <c r="R13" s="74">
        <f>SUM(R11:R12)</f>
        <v>1.0001000000000002</v>
      </c>
      <c r="S13" s="105" t="s">
        <v>918</v>
      </c>
      <c r="T13" s="104" t="s">
        <v>919</v>
      </c>
      <c r="U13" s="70">
        <f>SUM(U5:U11)</f>
        <v>0.75250000000000006</v>
      </c>
      <c r="V13" s="105" t="s">
        <v>918</v>
      </c>
      <c r="W13" s="104" t="s">
        <v>919</v>
      </c>
      <c r="X13" s="70">
        <f>SUM(X5:X11)</f>
        <v>0.75250000000000006</v>
      </c>
      <c r="AV13" s="104" t="s">
        <v>918</v>
      </c>
      <c r="AW13" s="104" t="s">
        <v>919</v>
      </c>
      <c r="AX13" s="70">
        <f>SUM(AX5:AX11)</f>
        <v>0.69520000000000015</v>
      </c>
      <c r="AY13" s="104" t="s">
        <v>918</v>
      </c>
      <c r="AZ13" s="104" t="s">
        <v>919</v>
      </c>
      <c r="BA13" s="70">
        <f>SUM(BA3:BA11)</f>
        <v>0.88950000000000018</v>
      </c>
      <c r="BB13" s="61"/>
      <c r="BC13" s="61" t="s">
        <v>744</v>
      </c>
      <c r="BD13" s="74">
        <f>SUM(BD11:BD12)</f>
        <v>1</v>
      </c>
      <c r="BE13" s="61"/>
      <c r="BF13" s="61" t="s">
        <v>744</v>
      </c>
      <c r="BG13" s="74">
        <f>SUM(BG11:BG12)</f>
        <v>1.0002</v>
      </c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</row>
    <row r="14" spans="1:71" x14ac:dyDescent="0.2">
      <c r="A14" s="105" t="s">
        <v>918</v>
      </c>
      <c r="B14" s="104" t="s">
        <v>919</v>
      </c>
      <c r="C14" s="70">
        <f>SUM(C5:C12)</f>
        <v>0.76750000000000007</v>
      </c>
      <c r="D14" s="65"/>
      <c r="E14" s="61" t="s">
        <v>744</v>
      </c>
      <c r="F14" s="74">
        <f>SUM(F12:F13)</f>
        <v>0.99999999999999978</v>
      </c>
      <c r="S14" s="65"/>
      <c r="T14" s="61" t="s">
        <v>744</v>
      </c>
      <c r="U14" s="74">
        <f>SUM(U12:U13)</f>
        <v>1</v>
      </c>
      <c r="V14" s="65"/>
      <c r="W14" s="61" t="s">
        <v>744</v>
      </c>
      <c r="X14" s="74">
        <f>SUM(X12:X13)</f>
        <v>1</v>
      </c>
      <c r="AV14" s="61"/>
      <c r="AW14" s="61" t="s">
        <v>744</v>
      </c>
      <c r="AX14" s="74">
        <f>SUM(AX12:AX13)</f>
        <v>0.99970000000000014</v>
      </c>
      <c r="AY14" s="61"/>
      <c r="AZ14" s="61" t="s">
        <v>744</v>
      </c>
      <c r="BA14" s="74">
        <f>SUM(BA12:BA13)</f>
        <v>1.0001000000000002</v>
      </c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</row>
    <row r="15" spans="1:71" x14ac:dyDescent="0.2">
      <c r="A15" s="65"/>
      <c r="B15" s="61" t="s">
        <v>744</v>
      </c>
      <c r="C15" s="74">
        <f>SUM(C13:C14)</f>
        <v>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</row>
    <row r="16" spans="1:7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</row>
    <row r="17" spans="1:7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</row>
    <row r="18" spans="1:7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</row>
    <row r="19" spans="1:7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</row>
    <row r="20" spans="1:7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</row>
    <row r="21" spans="1:7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</row>
    <row r="22" spans="1:7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</row>
    <row r="23" spans="1:7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</row>
    <row r="24" spans="1:7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</row>
    <row r="25" spans="1:7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</row>
    <row r="26" spans="1:7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</row>
    <row r="27" spans="1:7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</row>
    <row r="28" spans="1:7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</row>
    <row r="29" spans="1:7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</row>
    <row r="30" spans="1:7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</row>
    <row r="31" spans="1:7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</row>
    <row r="32" spans="1:7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</row>
    <row r="33" spans="1:7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</row>
    <row r="34" spans="1:7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</row>
    <row r="35" spans="1:7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</row>
    <row r="36" spans="1:7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</row>
    <row r="37" spans="1:7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</row>
    <row r="38" spans="1:7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</row>
    <row r="39" spans="1:7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</row>
    <row r="40" spans="1:7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</row>
    <row r="41" spans="1:7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</row>
    <row r="42" spans="1:7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</row>
    <row r="43" spans="1:7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</row>
    <row r="44" spans="1:7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</row>
    <row r="45" spans="1:7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</row>
    <row r="46" spans="1:7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</row>
    <row r="47" spans="1:7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</row>
    <row r="48" spans="1:7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</row>
    <row r="49" spans="1:7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</row>
    <row r="50" spans="1:7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</row>
    <row r="51" spans="1:7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</row>
    <row r="52" spans="1:7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</row>
    <row r="53" spans="1:7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</row>
    <row r="54" spans="1:7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</row>
    <row r="55" spans="1:7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</row>
    <row r="56" spans="1:7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</row>
    <row r="57" spans="1:7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</row>
    <row r="58" spans="1:7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</row>
    <row r="59" spans="1:7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</row>
    <row r="60" spans="1:7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</row>
    <row r="61" spans="1:7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</row>
    <row r="62" spans="1:7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</row>
    <row r="63" spans="1:7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</row>
    <row r="64" spans="1:7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</row>
    <row r="65" spans="1:7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</row>
    <row r="66" spans="1:7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</row>
    <row r="67" spans="1:7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</row>
    <row r="68" spans="1:7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</row>
    <row r="69" spans="1:7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</row>
    <row r="70" spans="1:7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</row>
    <row r="71" spans="1:7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</row>
    <row r="72" spans="1:7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</row>
    <row r="73" spans="1:7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</row>
    <row r="74" spans="1:7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</row>
    <row r="75" spans="1:7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</row>
    <row r="76" spans="1:7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</row>
    <row r="77" spans="1:7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</row>
    <row r="78" spans="1:7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</row>
    <row r="79" spans="1:7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</row>
    <row r="80" spans="1:7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</row>
    <row r="81" spans="1:7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</row>
    <row r="82" spans="1:7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</row>
    <row r="83" spans="1:7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</row>
    <row r="84" spans="1:7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</row>
    <row r="85" spans="1:7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</row>
    <row r="86" spans="1:7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</row>
    <row r="87" spans="1:7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</row>
    <row r="88" spans="1:7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</row>
    <row r="89" spans="1:7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</row>
    <row r="90" spans="1:7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</row>
    <row r="91" spans="1:7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</row>
    <row r="92" spans="1:7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</row>
    <row r="93" spans="1:7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</row>
    <row r="94" spans="1:7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</row>
    <row r="95" spans="1:7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</row>
    <row r="96" spans="1:7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</row>
    <row r="97" spans="1:7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</row>
    <row r="98" spans="1:7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</row>
    <row r="99" spans="1:7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</row>
    <row r="100" spans="1:7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</row>
    <row r="101" spans="1:7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</row>
    <row r="102" spans="1:7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</row>
    <row r="103" spans="1:7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</row>
    <row r="104" spans="1:7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</row>
    <row r="105" spans="1:7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</row>
    <row r="106" spans="1:7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</row>
    <row r="107" spans="1:7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</row>
    <row r="108" spans="1:7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</row>
    <row r="109" spans="1:7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</row>
    <row r="110" spans="1:7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</row>
    <row r="111" spans="1:7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</row>
    <row r="112" spans="1:7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</row>
    <row r="113" spans="1:7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</row>
    <row r="114" spans="1:7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</row>
    <row r="115" spans="1:7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</row>
    <row r="116" spans="1:7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</row>
    <row r="117" spans="1:7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</row>
    <row r="118" spans="1:7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</row>
    <row r="119" spans="1:7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</row>
    <row r="120" spans="1:7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</row>
    <row r="121" spans="1:7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</row>
    <row r="122" spans="1:7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</row>
    <row r="123" spans="1:7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</row>
    <row r="124" spans="1:7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</row>
    <row r="125" spans="1:7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</row>
    <row r="126" spans="1:7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</row>
    <row r="127" spans="1:7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</row>
    <row r="128" spans="1:7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</row>
    <row r="129" spans="1:7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</row>
    <row r="130" spans="1:7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</row>
    <row r="131" spans="1:7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</row>
    <row r="132" spans="1:7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</row>
    <row r="133" spans="1:7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</row>
    <row r="134" spans="1:7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</row>
    <row r="135" spans="1:7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</row>
    <row r="136" spans="1:7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</row>
    <row r="137" spans="1:7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</row>
    <row r="138" spans="1:7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</row>
    <row r="139" spans="1:7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</row>
    <row r="140" spans="1:7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</row>
    <row r="141" spans="1:7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</row>
    <row r="142" spans="1:7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</row>
    <row r="143" spans="1:7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</row>
    <row r="144" spans="1:7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</row>
    <row r="145" spans="1:7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</row>
    <row r="146" spans="1:7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</row>
    <row r="147" spans="1:7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</row>
    <row r="148" spans="1:7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</row>
    <row r="149" spans="1:7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</row>
    <row r="150" spans="1:7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</row>
    <row r="151" spans="1:7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</row>
    <row r="152" spans="1:7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</row>
    <row r="153" spans="1:7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</row>
    <row r="154" spans="1:7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</row>
    <row r="155" spans="1:7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</row>
    <row r="156" spans="1:7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</row>
    <row r="157" spans="1:7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</row>
    <row r="158" spans="1:7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</row>
    <row r="159" spans="1:7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</row>
    <row r="160" spans="1:7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</row>
    <row r="161" spans="1:7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</row>
    <row r="162" spans="1:7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</row>
    <row r="163" spans="1:7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</row>
    <row r="164" spans="1:7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</row>
    <row r="165" spans="1:7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</row>
    <row r="166" spans="1:7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</row>
    <row r="167" spans="1:7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</row>
    <row r="168" spans="1:7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</row>
    <row r="169" spans="1:7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</row>
    <row r="170" spans="1:7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</row>
    <row r="171" spans="1:7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</row>
    <row r="172" spans="1:7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</row>
    <row r="173" spans="1:7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</row>
    <row r="174" spans="1:7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</row>
    <row r="175" spans="1:7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</row>
    <row r="176" spans="1:7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</row>
    <row r="177" spans="1:7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</row>
    <row r="178" spans="1:7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</row>
    <row r="179" spans="1:7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</row>
    <row r="180" spans="1:7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</row>
    <row r="181" spans="1:7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</row>
    <row r="182" spans="1:7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</row>
    <row r="183" spans="1:7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</row>
    <row r="184" spans="1:7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</row>
    <row r="185" spans="1:7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</row>
    <row r="186" spans="1:7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</row>
    <row r="187" spans="1:7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</row>
    <row r="188" spans="1:7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</row>
    <row r="189" spans="1:7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</row>
    <row r="190" spans="1:7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</row>
    <row r="191" spans="1:7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</row>
    <row r="192" spans="1:7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</row>
    <row r="193" spans="1:7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</row>
    <row r="194" spans="1:7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</row>
    <row r="195" spans="1:7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</row>
    <row r="196" spans="1:7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</row>
    <row r="197" spans="1:7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</row>
    <row r="198" spans="1:7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</row>
    <row r="199" spans="1:7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</row>
    <row r="200" spans="1:7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</row>
  </sheetData>
  <mergeCells count="19">
    <mergeCell ref="AH1:AI1"/>
    <mergeCell ref="AP1:AQ1"/>
    <mergeCell ref="AV1:AW1"/>
    <mergeCell ref="BB1:BC1"/>
    <mergeCell ref="BE1:BF1"/>
    <mergeCell ref="AY1:AZ1"/>
    <mergeCell ref="AS1:AT1"/>
    <mergeCell ref="AK1:AL1"/>
    <mergeCell ref="A1:B1"/>
    <mergeCell ref="AE1:AF1"/>
    <mergeCell ref="Y1:Z1"/>
    <mergeCell ref="S1:T1"/>
    <mergeCell ref="M1:N1"/>
    <mergeCell ref="G1:H1"/>
    <mergeCell ref="D1:E1"/>
    <mergeCell ref="J1:K1"/>
    <mergeCell ref="P1:Q1"/>
    <mergeCell ref="V1:W1"/>
    <mergeCell ref="AB1:AC1"/>
  </mergeCells>
  <phoneticPr fontId="6" type="noConversion"/>
  <pageMargins left="0.7" right="0.7" top="0.75" bottom="0.75" header="0.3" footer="0.3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S200"/>
  <sheetViews>
    <sheetView workbookViewId="0">
      <pane ySplit="1" topLeftCell="A2" activePane="bottomLeft" state="frozen"/>
      <selection pane="bottomLeft" sqref="A1:B1"/>
    </sheetView>
  </sheetViews>
  <sheetFormatPr defaultColWidth="14" defaultRowHeight="12.75" x14ac:dyDescent="0.2"/>
  <cols>
    <col min="1" max="71" width="17" customWidth="1"/>
  </cols>
  <sheetData>
    <row r="1" spans="1:71" x14ac:dyDescent="0.2">
      <c r="A1" s="207">
        <v>46098</v>
      </c>
      <c r="B1" s="207"/>
      <c r="C1" s="146" t="s">
        <v>0</v>
      </c>
      <c r="D1" s="207">
        <v>46063</v>
      </c>
      <c r="E1" s="207"/>
      <c r="F1" s="146" t="s">
        <v>0</v>
      </c>
      <c r="G1" s="207">
        <v>46037</v>
      </c>
      <c r="H1" s="207"/>
      <c r="I1" s="146" t="s">
        <v>0</v>
      </c>
      <c r="J1" s="207">
        <v>46000</v>
      </c>
      <c r="K1" s="207"/>
      <c r="L1" s="146" t="s">
        <v>0</v>
      </c>
      <c r="M1" s="207">
        <v>45960</v>
      </c>
      <c r="N1" s="207"/>
      <c r="O1" s="146" t="s">
        <v>0</v>
      </c>
      <c r="P1" s="207">
        <v>45930</v>
      </c>
      <c r="Q1" s="207"/>
      <c r="R1" s="146" t="s">
        <v>0</v>
      </c>
      <c r="S1" s="207">
        <v>45895</v>
      </c>
      <c r="T1" s="207"/>
      <c r="U1" s="146" t="s">
        <v>0</v>
      </c>
      <c r="V1" s="207">
        <v>45853</v>
      </c>
      <c r="W1" s="207"/>
      <c r="X1" s="146" t="s">
        <v>0</v>
      </c>
      <c r="Y1" s="207">
        <v>45818</v>
      </c>
      <c r="Z1" s="207"/>
      <c r="AA1" s="146" t="s">
        <v>0</v>
      </c>
      <c r="AB1" s="207">
        <v>45776</v>
      </c>
      <c r="AC1" s="207"/>
      <c r="AD1" s="146" t="s">
        <v>0</v>
      </c>
      <c r="AE1" s="207">
        <v>45741</v>
      </c>
      <c r="AF1" s="207"/>
      <c r="AG1" s="146" t="s">
        <v>0</v>
      </c>
      <c r="AH1" s="207">
        <v>45708</v>
      </c>
      <c r="AI1" s="207"/>
      <c r="AJ1" s="146" t="s">
        <v>0</v>
      </c>
      <c r="AK1" s="207">
        <v>45680</v>
      </c>
      <c r="AL1" s="207"/>
      <c r="AM1" s="146" t="s">
        <v>0</v>
      </c>
      <c r="AN1" s="147">
        <v>45650</v>
      </c>
      <c r="AO1" s="146" t="s">
        <v>0</v>
      </c>
      <c r="AP1" s="208">
        <v>45601</v>
      </c>
      <c r="AQ1" s="208"/>
      <c r="AR1" s="146" t="s">
        <v>0</v>
      </c>
      <c r="AS1" s="208">
        <v>45565</v>
      </c>
      <c r="AT1" s="208"/>
      <c r="AU1" s="146" t="s">
        <v>0</v>
      </c>
      <c r="AV1" s="209">
        <v>45531</v>
      </c>
      <c r="AW1" s="209"/>
      <c r="AX1" s="149" t="s">
        <v>0</v>
      </c>
      <c r="AY1" s="211">
        <v>45496</v>
      </c>
      <c r="AZ1" s="211"/>
      <c r="BA1" s="148" t="s">
        <v>0</v>
      </c>
      <c r="BB1" s="195">
        <v>45461</v>
      </c>
      <c r="BC1" s="195"/>
      <c r="BD1" s="42" t="s">
        <v>0</v>
      </c>
      <c r="BE1" s="210">
        <v>45419</v>
      </c>
      <c r="BF1" s="210"/>
      <c r="BG1" s="150" t="s">
        <v>0</v>
      </c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</row>
    <row r="2" spans="1:71" x14ac:dyDescent="0.2">
      <c r="A2" s="9" t="s">
        <v>1153</v>
      </c>
      <c r="B2" s="9" t="s">
        <v>951</v>
      </c>
      <c r="C2" s="3">
        <v>7.2499999999999995E-2</v>
      </c>
      <c r="D2" s="10" t="s">
        <v>952</v>
      </c>
      <c r="E2" s="9" t="s">
        <v>953</v>
      </c>
      <c r="F2" s="25">
        <v>7.2499999999999995E-2</v>
      </c>
      <c r="G2" s="15" t="s">
        <v>954</v>
      </c>
      <c r="H2" s="9" t="s">
        <v>955</v>
      </c>
      <c r="I2" s="3">
        <v>7.2499999999999995E-2</v>
      </c>
      <c r="J2" s="15" t="s">
        <v>956</v>
      </c>
      <c r="K2" s="9" t="s">
        <v>957</v>
      </c>
      <c r="L2" s="3">
        <v>7.2700000000000001E-2</v>
      </c>
      <c r="M2" s="10" t="s">
        <v>1</v>
      </c>
      <c r="N2" s="17" t="s">
        <v>2</v>
      </c>
      <c r="O2" s="3">
        <v>7.2499999999999995E-2</v>
      </c>
      <c r="P2" s="15" t="s">
        <v>5</v>
      </c>
      <c r="Q2" s="9" t="s">
        <v>6</v>
      </c>
      <c r="R2" s="3">
        <v>7.3200000000000001E-2</v>
      </c>
      <c r="S2" s="15" t="s">
        <v>38</v>
      </c>
      <c r="T2" s="9" t="s">
        <v>39</v>
      </c>
      <c r="U2" s="3">
        <v>9.5000000000000001E-2</v>
      </c>
      <c r="V2" s="29" t="s">
        <v>7</v>
      </c>
      <c r="W2" s="28" t="s">
        <v>8</v>
      </c>
      <c r="X2" s="3">
        <v>0.05</v>
      </c>
      <c r="Y2" s="19" t="s">
        <v>11</v>
      </c>
      <c r="Z2" s="18" t="s">
        <v>12</v>
      </c>
      <c r="AA2" s="3">
        <v>8.3299999999999999E-2</v>
      </c>
      <c r="AB2" s="19" t="s">
        <v>13</v>
      </c>
      <c r="AC2" s="18" t="s">
        <v>14</v>
      </c>
      <c r="AD2" s="3">
        <v>8.3299999999999999E-2</v>
      </c>
      <c r="AE2" s="83" t="s">
        <v>1154</v>
      </c>
      <c r="AF2" s="82" t="s">
        <v>1155</v>
      </c>
      <c r="AG2" s="3">
        <v>0.15</v>
      </c>
      <c r="AH2" s="83" t="s">
        <v>1156</v>
      </c>
      <c r="AI2" s="82" t="s">
        <v>1157</v>
      </c>
      <c r="AJ2" s="3">
        <v>0.15</v>
      </c>
      <c r="AK2" s="83" t="s">
        <v>1158</v>
      </c>
      <c r="AL2" s="82" t="s">
        <v>1159</v>
      </c>
      <c r="AM2" s="14">
        <v>0.1176</v>
      </c>
      <c r="AN2" s="83" t="s">
        <v>1160</v>
      </c>
      <c r="AO2" s="55">
        <v>0.14630000000000001</v>
      </c>
      <c r="AP2" s="83" t="s">
        <v>1161</v>
      </c>
      <c r="AQ2" s="82" t="s">
        <v>1162</v>
      </c>
      <c r="AR2" s="3">
        <v>0.14630000000000001</v>
      </c>
      <c r="AS2" s="83" t="s">
        <v>25</v>
      </c>
      <c r="AT2" s="82" t="s">
        <v>26</v>
      </c>
      <c r="AU2" s="114">
        <v>0.15790000000000001</v>
      </c>
      <c r="AV2" s="78" t="s">
        <v>959</v>
      </c>
      <c r="AW2" s="81" t="s">
        <v>960</v>
      </c>
      <c r="AX2" s="3">
        <v>0.1328</v>
      </c>
      <c r="AY2" s="82" t="s">
        <v>55</v>
      </c>
      <c r="AZ2" s="82" t="s">
        <v>56</v>
      </c>
      <c r="BA2" s="129">
        <v>0.1328</v>
      </c>
      <c r="BB2" s="82" t="s">
        <v>28</v>
      </c>
      <c r="BC2" s="82" t="s">
        <v>29</v>
      </c>
      <c r="BD2" s="128">
        <v>8.7400000000000005E-2</v>
      </c>
      <c r="BE2" s="82" t="s">
        <v>48</v>
      </c>
      <c r="BF2" s="82" t="s">
        <v>958</v>
      </c>
      <c r="BG2" s="139">
        <v>8.5699999999999998E-2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</row>
    <row r="3" spans="1:71" x14ac:dyDescent="0.2">
      <c r="A3" s="5" t="s">
        <v>952</v>
      </c>
      <c r="B3" s="5" t="s">
        <v>953</v>
      </c>
      <c r="C3" s="3">
        <v>0.1235</v>
      </c>
      <c r="D3" s="26" t="s">
        <v>954</v>
      </c>
      <c r="E3" s="5" t="s">
        <v>955</v>
      </c>
      <c r="F3" s="3">
        <v>0.1235</v>
      </c>
      <c r="G3" s="12" t="s">
        <v>956</v>
      </c>
      <c r="H3" s="5" t="s">
        <v>957</v>
      </c>
      <c r="I3" s="3">
        <v>0.1235</v>
      </c>
      <c r="J3" s="12" t="s">
        <v>1</v>
      </c>
      <c r="K3" s="5" t="s">
        <v>2</v>
      </c>
      <c r="L3" s="3">
        <v>0.1236</v>
      </c>
      <c r="M3" s="109" t="s">
        <v>7</v>
      </c>
      <c r="N3" s="108" t="s">
        <v>8</v>
      </c>
      <c r="O3" s="3">
        <v>0.1235</v>
      </c>
      <c r="P3" s="15" t="s">
        <v>3</v>
      </c>
      <c r="Q3" s="9" t="s">
        <v>4</v>
      </c>
      <c r="R3" s="3">
        <v>7.3200000000000001E-2</v>
      </c>
      <c r="S3" s="31" t="s">
        <v>7</v>
      </c>
      <c r="T3" s="33" t="s">
        <v>8</v>
      </c>
      <c r="U3" s="3">
        <v>9.5000000000000001E-2</v>
      </c>
      <c r="V3" s="43" t="s">
        <v>9</v>
      </c>
      <c r="W3" s="44" t="s">
        <v>10</v>
      </c>
      <c r="X3" s="3">
        <v>0.05</v>
      </c>
      <c r="Y3" s="12" t="s">
        <v>13</v>
      </c>
      <c r="Z3" s="5" t="s">
        <v>14</v>
      </c>
      <c r="AA3" s="3">
        <v>8.3299999999999999E-2</v>
      </c>
      <c r="AB3" s="12" t="s">
        <v>1154</v>
      </c>
      <c r="AC3" s="5" t="s">
        <v>1155</v>
      </c>
      <c r="AD3" s="3">
        <v>8.3299999999999999E-2</v>
      </c>
      <c r="AE3" s="12" t="s">
        <v>1156</v>
      </c>
      <c r="AF3" s="5" t="s">
        <v>1157</v>
      </c>
      <c r="AG3" s="3">
        <v>0.15</v>
      </c>
      <c r="AH3" s="12" t="s">
        <v>1158</v>
      </c>
      <c r="AI3" s="5" t="s">
        <v>1159</v>
      </c>
      <c r="AJ3" s="3">
        <v>0.15</v>
      </c>
      <c r="AK3" s="12" t="s">
        <v>1163</v>
      </c>
      <c r="AL3" s="5" t="s">
        <v>1160</v>
      </c>
      <c r="AM3" s="14">
        <v>0.14119999999999999</v>
      </c>
      <c r="AN3" s="12" t="s">
        <v>1162</v>
      </c>
      <c r="AO3" s="55">
        <v>0.16259999999999999</v>
      </c>
      <c r="AP3" s="15" t="s">
        <v>40</v>
      </c>
      <c r="AQ3" s="9" t="s">
        <v>41</v>
      </c>
      <c r="AR3" s="3">
        <v>0.16259999999999999</v>
      </c>
      <c r="AS3" s="12" t="s">
        <v>959</v>
      </c>
      <c r="AT3" s="5" t="s">
        <v>960</v>
      </c>
      <c r="AU3" s="3">
        <v>0.1754</v>
      </c>
      <c r="AV3" s="78" t="s">
        <v>54</v>
      </c>
      <c r="AW3" s="81" t="s">
        <v>27</v>
      </c>
      <c r="AX3" s="3">
        <v>0.1328</v>
      </c>
      <c r="AY3" s="82" t="s">
        <v>44</v>
      </c>
      <c r="AZ3" s="82" t="s">
        <v>45</v>
      </c>
      <c r="BA3" s="129">
        <v>0.1328</v>
      </c>
      <c r="BB3" s="82" t="s">
        <v>42</v>
      </c>
      <c r="BC3" s="82" t="s">
        <v>43</v>
      </c>
      <c r="BD3" s="128">
        <v>8.7400000000000005E-2</v>
      </c>
      <c r="BE3" s="82" t="s">
        <v>1164</v>
      </c>
      <c r="BF3" s="82" t="s">
        <v>1165</v>
      </c>
      <c r="BG3" s="139">
        <v>7.6200000000000004E-2</v>
      </c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</row>
    <row r="4" spans="1:71" x14ac:dyDescent="0.2">
      <c r="A4" s="5" t="s">
        <v>956</v>
      </c>
      <c r="B4" s="5" t="s">
        <v>957</v>
      </c>
      <c r="C4" s="3">
        <v>0.1545</v>
      </c>
      <c r="D4" s="26" t="s">
        <v>956</v>
      </c>
      <c r="E4" s="5" t="s">
        <v>957</v>
      </c>
      <c r="F4" s="3">
        <v>0.1545</v>
      </c>
      <c r="G4" s="12" t="s">
        <v>1</v>
      </c>
      <c r="H4" s="5" t="s">
        <v>2</v>
      </c>
      <c r="I4" s="3">
        <v>0.1545</v>
      </c>
      <c r="J4" s="12" t="s">
        <v>3</v>
      </c>
      <c r="K4" s="5" t="s">
        <v>4</v>
      </c>
      <c r="L4" s="3">
        <v>0.1545</v>
      </c>
      <c r="M4" s="26" t="s">
        <v>5</v>
      </c>
      <c r="N4" s="4" t="s">
        <v>6</v>
      </c>
      <c r="O4" s="3">
        <v>0.1545</v>
      </c>
      <c r="P4" s="12" t="s">
        <v>38</v>
      </c>
      <c r="Q4" s="5" t="s">
        <v>39</v>
      </c>
      <c r="R4" s="3">
        <v>0.1041</v>
      </c>
      <c r="S4" s="12" t="s">
        <v>9</v>
      </c>
      <c r="T4" s="5" t="s">
        <v>10</v>
      </c>
      <c r="U4" s="3">
        <v>0.13500000000000001</v>
      </c>
      <c r="V4" s="13" t="s">
        <v>11</v>
      </c>
      <c r="W4" s="11" t="s">
        <v>12</v>
      </c>
      <c r="X4" s="3">
        <v>7.4999999999999997E-2</v>
      </c>
      <c r="Y4" s="12" t="s">
        <v>15</v>
      </c>
      <c r="Z4" s="5" t="s">
        <v>16</v>
      </c>
      <c r="AA4" s="3">
        <v>8.3299999999999999E-2</v>
      </c>
      <c r="AB4" s="12" t="s">
        <v>1156</v>
      </c>
      <c r="AC4" s="5" t="s">
        <v>1157</v>
      </c>
      <c r="AD4" s="3">
        <v>8.3299999999999999E-2</v>
      </c>
      <c r="AE4" s="12" t="s">
        <v>1158</v>
      </c>
      <c r="AF4" s="5" t="s">
        <v>1159</v>
      </c>
      <c r="AG4" s="3">
        <v>0.15</v>
      </c>
      <c r="AH4" s="12" t="s">
        <v>1163</v>
      </c>
      <c r="AI4" s="5" t="s">
        <v>1160</v>
      </c>
      <c r="AJ4" s="3">
        <v>0.15</v>
      </c>
      <c r="AK4" s="12" t="s">
        <v>1161</v>
      </c>
      <c r="AL4" s="5" t="s">
        <v>1162</v>
      </c>
      <c r="AM4" s="14">
        <v>0.14119999999999999</v>
      </c>
      <c r="AN4" s="83" t="s">
        <v>1166</v>
      </c>
      <c r="AO4" s="55">
        <v>0.16259999999999999</v>
      </c>
      <c r="AP4" s="12" t="s">
        <v>25</v>
      </c>
      <c r="AQ4" s="5" t="s">
        <v>26</v>
      </c>
      <c r="AR4" s="3">
        <v>0.16259999999999999</v>
      </c>
      <c r="AS4" s="12" t="s">
        <v>54</v>
      </c>
      <c r="AT4" s="5" t="s">
        <v>27</v>
      </c>
      <c r="AU4" s="3">
        <v>0.1754</v>
      </c>
      <c r="AV4" s="26" t="s">
        <v>44</v>
      </c>
      <c r="AW4" s="4" t="s">
        <v>45</v>
      </c>
      <c r="AX4" s="3">
        <v>0.14019999999999999</v>
      </c>
      <c r="AY4" s="5" t="s">
        <v>28</v>
      </c>
      <c r="AZ4" s="5" t="s">
        <v>29</v>
      </c>
      <c r="BA4" s="129">
        <v>0.14019999999999999</v>
      </c>
      <c r="BB4" s="5" t="s">
        <v>48</v>
      </c>
      <c r="BC4" s="5" t="s">
        <v>49</v>
      </c>
      <c r="BD4" s="128">
        <v>9.8400000000000001E-2</v>
      </c>
      <c r="BE4" s="137" t="s">
        <v>1167</v>
      </c>
      <c r="BF4" s="137" t="s">
        <v>1168</v>
      </c>
      <c r="BG4" s="139">
        <v>7.6200000000000004E-2</v>
      </c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</row>
    <row r="5" spans="1:71" x14ac:dyDescent="0.2">
      <c r="A5" s="5" t="s">
        <v>954</v>
      </c>
      <c r="B5" s="5" t="s">
        <v>955</v>
      </c>
      <c r="C5" s="3">
        <v>0.1545</v>
      </c>
      <c r="D5" s="26" t="s">
        <v>1</v>
      </c>
      <c r="E5" s="5" t="s">
        <v>2</v>
      </c>
      <c r="F5" s="3">
        <v>0.1545</v>
      </c>
      <c r="G5" s="12" t="s">
        <v>3</v>
      </c>
      <c r="H5" s="5" t="s">
        <v>4</v>
      </c>
      <c r="I5" s="3">
        <v>0.1545</v>
      </c>
      <c r="J5" s="12" t="s">
        <v>5</v>
      </c>
      <c r="K5" s="5" t="s">
        <v>6</v>
      </c>
      <c r="L5" s="3">
        <v>0.1545</v>
      </c>
      <c r="M5" s="26" t="s">
        <v>3</v>
      </c>
      <c r="N5" s="4" t="s">
        <v>4</v>
      </c>
      <c r="O5" s="3">
        <v>0.1545</v>
      </c>
      <c r="P5" s="31" t="s">
        <v>7</v>
      </c>
      <c r="Q5" s="33" t="s">
        <v>8</v>
      </c>
      <c r="R5" s="3">
        <v>0.1041</v>
      </c>
      <c r="S5" s="13" t="s">
        <v>11</v>
      </c>
      <c r="T5" s="11" t="s">
        <v>12</v>
      </c>
      <c r="U5" s="3">
        <v>0.13500000000000001</v>
      </c>
      <c r="V5" s="12" t="s">
        <v>13</v>
      </c>
      <c r="W5" s="5" t="s">
        <v>14</v>
      </c>
      <c r="X5" s="3">
        <v>7.4999999999999997E-2</v>
      </c>
      <c r="Y5" s="15" t="s">
        <v>1169</v>
      </c>
      <c r="Z5" s="9" t="s">
        <v>1170</v>
      </c>
      <c r="AA5" s="3">
        <v>0.1</v>
      </c>
      <c r="AB5" s="15" t="s">
        <v>1171</v>
      </c>
      <c r="AC5" s="9" t="s">
        <v>1172</v>
      </c>
      <c r="AD5" s="3">
        <v>0.1</v>
      </c>
      <c r="AE5" s="83" t="s">
        <v>1173</v>
      </c>
      <c r="AF5" s="82" t="s">
        <v>1174</v>
      </c>
      <c r="AG5" s="3">
        <v>0.1</v>
      </c>
      <c r="AH5" s="12" t="s">
        <v>1175</v>
      </c>
      <c r="AI5" s="5" t="s">
        <v>1176</v>
      </c>
      <c r="AJ5" s="3">
        <v>0.1</v>
      </c>
      <c r="AK5" s="83" t="s">
        <v>1177</v>
      </c>
      <c r="AL5" s="82" t="s">
        <v>1178</v>
      </c>
      <c r="AM5" s="14">
        <v>9.4100000000000003E-2</v>
      </c>
      <c r="AN5" s="12" t="s">
        <v>26</v>
      </c>
      <c r="AO5" s="55">
        <v>0.16259999999999999</v>
      </c>
      <c r="AP5" s="12" t="s">
        <v>54</v>
      </c>
      <c r="AQ5" s="5" t="s">
        <v>27</v>
      </c>
      <c r="AR5" s="3">
        <v>0.16259999999999999</v>
      </c>
      <c r="AS5" s="12" t="s">
        <v>28</v>
      </c>
      <c r="AT5" s="5" t="s">
        <v>29</v>
      </c>
      <c r="AU5" s="3">
        <v>0.1754</v>
      </c>
      <c r="AV5" s="26" t="s">
        <v>28</v>
      </c>
      <c r="AW5" s="4" t="s">
        <v>29</v>
      </c>
      <c r="AX5" s="3">
        <v>0.14760000000000001</v>
      </c>
      <c r="AY5" s="5" t="s">
        <v>1167</v>
      </c>
      <c r="AZ5" s="5" t="s">
        <v>1168</v>
      </c>
      <c r="BA5" s="129">
        <v>0.14760000000000001</v>
      </c>
      <c r="BB5" s="5" t="s">
        <v>1167</v>
      </c>
      <c r="BC5" s="5" t="s">
        <v>1168</v>
      </c>
      <c r="BD5" s="128">
        <v>9.8400000000000001E-2</v>
      </c>
      <c r="BE5" s="137" t="s">
        <v>1179</v>
      </c>
      <c r="BF5" s="137" t="s">
        <v>1180</v>
      </c>
      <c r="BG5" s="139">
        <v>7.6200000000000004E-2</v>
      </c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</row>
    <row r="6" spans="1:71" x14ac:dyDescent="0.2">
      <c r="A6" s="9" t="s">
        <v>1181</v>
      </c>
      <c r="B6" s="9" t="s">
        <v>1182</v>
      </c>
      <c r="C6" s="3">
        <v>9.8500000000000004E-2</v>
      </c>
      <c r="D6" s="10" t="s">
        <v>1183</v>
      </c>
      <c r="E6" s="9" t="s">
        <v>1184</v>
      </c>
      <c r="F6" s="25">
        <v>9.8500000000000004E-2</v>
      </c>
      <c r="G6" s="15" t="s">
        <v>1185</v>
      </c>
      <c r="H6" s="9" t="s">
        <v>1186</v>
      </c>
      <c r="I6" s="3">
        <v>9.8500000000000004E-2</v>
      </c>
      <c r="J6" s="138" t="s">
        <v>1187</v>
      </c>
      <c r="K6" s="140" t="s">
        <v>1188</v>
      </c>
      <c r="L6" s="141">
        <v>9.8400000000000001E-2</v>
      </c>
      <c r="M6" s="10" t="s">
        <v>1189</v>
      </c>
      <c r="N6" s="17" t="s">
        <v>1190</v>
      </c>
      <c r="O6" s="3">
        <v>9.8500000000000004E-2</v>
      </c>
      <c r="P6" s="12" t="s">
        <v>9</v>
      </c>
      <c r="Q6" s="5" t="s">
        <v>10</v>
      </c>
      <c r="R6" s="3">
        <v>0.1041</v>
      </c>
      <c r="S6" s="15" t="s">
        <v>1191</v>
      </c>
      <c r="T6" s="9" t="s">
        <v>1192</v>
      </c>
      <c r="U6" s="3">
        <v>0.13500000000000001</v>
      </c>
      <c r="V6" s="19" t="s">
        <v>1193</v>
      </c>
      <c r="W6" s="18" t="s">
        <v>1194</v>
      </c>
      <c r="X6" s="3">
        <v>7.4999999999999997E-2</v>
      </c>
      <c r="Y6" s="12" t="s">
        <v>1171</v>
      </c>
      <c r="Z6" s="5" t="s">
        <v>1172</v>
      </c>
      <c r="AA6" s="3">
        <v>0.1</v>
      </c>
      <c r="AB6" s="12" t="s">
        <v>1173</v>
      </c>
      <c r="AC6" s="5" t="s">
        <v>1174</v>
      </c>
      <c r="AD6" s="3">
        <v>0.1</v>
      </c>
      <c r="AE6" s="12" t="s">
        <v>1195</v>
      </c>
      <c r="AF6" s="5" t="s">
        <v>1196</v>
      </c>
      <c r="AG6" s="3">
        <v>0.1</v>
      </c>
      <c r="AH6" s="12" t="s">
        <v>1177</v>
      </c>
      <c r="AI6" s="5" t="s">
        <v>1178</v>
      </c>
      <c r="AJ6" s="3">
        <v>0.1</v>
      </c>
      <c r="AK6" s="12" t="s">
        <v>1197</v>
      </c>
      <c r="AL6" s="5" t="s">
        <v>1198</v>
      </c>
      <c r="AM6" s="14">
        <v>9.4100000000000003E-2</v>
      </c>
      <c r="AN6" s="12" t="s">
        <v>1198</v>
      </c>
      <c r="AO6" s="55">
        <v>0.122</v>
      </c>
      <c r="AP6" s="15" t="s">
        <v>1197</v>
      </c>
      <c r="AQ6" s="9" t="s">
        <v>1198</v>
      </c>
      <c r="AR6" s="3">
        <v>0.122</v>
      </c>
      <c r="AS6" s="12" t="s">
        <v>1199</v>
      </c>
      <c r="AT6" s="5" t="s">
        <v>1200</v>
      </c>
      <c r="AU6" s="3">
        <v>0.1053</v>
      </c>
      <c r="AV6" s="26" t="s">
        <v>1167</v>
      </c>
      <c r="AW6" s="4" t="s">
        <v>1168</v>
      </c>
      <c r="AX6" s="3">
        <v>0.14760000000000001</v>
      </c>
      <c r="AY6" s="5" t="s">
        <v>1179</v>
      </c>
      <c r="AZ6" s="5" t="s">
        <v>1180</v>
      </c>
      <c r="BA6" s="129">
        <v>0.14760000000000001</v>
      </c>
      <c r="BB6" s="5" t="s">
        <v>1179</v>
      </c>
      <c r="BC6" s="5" t="s">
        <v>1180</v>
      </c>
      <c r="BD6" s="128">
        <v>9.8400000000000001E-2</v>
      </c>
      <c r="BE6" s="137" t="s">
        <v>1201</v>
      </c>
      <c r="BF6" s="137" t="s">
        <v>1202</v>
      </c>
      <c r="BG6" s="139">
        <v>8.5699999999999998E-2</v>
      </c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</row>
    <row r="7" spans="1:71" x14ac:dyDescent="0.2">
      <c r="A7" s="5" t="s">
        <v>1183</v>
      </c>
      <c r="B7" s="5" t="s">
        <v>1184</v>
      </c>
      <c r="C7" s="3">
        <v>0.1235</v>
      </c>
      <c r="D7" s="143" t="s">
        <v>1185</v>
      </c>
      <c r="E7" s="50" t="s">
        <v>1186</v>
      </c>
      <c r="F7" s="141">
        <v>0.1235</v>
      </c>
      <c r="G7" s="12" t="s">
        <v>1187</v>
      </c>
      <c r="H7" s="5" t="s">
        <v>1188</v>
      </c>
      <c r="I7" s="3">
        <v>0.1235</v>
      </c>
      <c r="J7" s="12" t="s">
        <v>1189</v>
      </c>
      <c r="K7" s="5" t="s">
        <v>1190</v>
      </c>
      <c r="L7" s="3">
        <v>0.1236</v>
      </c>
      <c r="M7" s="26" t="s">
        <v>1203</v>
      </c>
      <c r="N7" s="4" t="s">
        <v>1204</v>
      </c>
      <c r="O7" s="3">
        <v>0.1235</v>
      </c>
      <c r="P7" s="15" t="s">
        <v>1203</v>
      </c>
      <c r="Q7" s="9" t="s">
        <v>1204</v>
      </c>
      <c r="R7" s="3">
        <v>0.1353</v>
      </c>
      <c r="S7" s="13" t="s">
        <v>1193</v>
      </c>
      <c r="T7" s="11" t="s">
        <v>1194</v>
      </c>
      <c r="U7" s="3">
        <v>0.13500000000000001</v>
      </c>
      <c r="V7" s="142" t="s">
        <v>1205</v>
      </c>
      <c r="W7" s="144" t="s">
        <v>1206</v>
      </c>
      <c r="X7" s="3">
        <v>7.4999999999999997E-2</v>
      </c>
      <c r="Y7" s="12" t="s">
        <v>1195</v>
      </c>
      <c r="Z7" s="5" t="s">
        <v>1196</v>
      </c>
      <c r="AA7" s="3">
        <v>0.1</v>
      </c>
      <c r="AB7" s="12" t="s">
        <v>1195</v>
      </c>
      <c r="AC7" s="5" t="s">
        <v>1196</v>
      </c>
      <c r="AD7" s="3">
        <v>0.1</v>
      </c>
      <c r="AE7" s="12" t="s">
        <v>1175</v>
      </c>
      <c r="AF7" s="5" t="s">
        <v>1176</v>
      </c>
      <c r="AG7" s="3">
        <v>0.1</v>
      </c>
      <c r="AH7" s="83" t="s">
        <v>1195</v>
      </c>
      <c r="AI7" s="82" t="s">
        <v>1196</v>
      </c>
      <c r="AJ7" s="3">
        <v>0.1</v>
      </c>
      <c r="AK7" s="12" t="s">
        <v>1207</v>
      </c>
      <c r="AL7" s="5" t="s">
        <v>1208</v>
      </c>
      <c r="AM7" s="14">
        <v>9.4100000000000003E-2</v>
      </c>
      <c r="AN7" s="12" t="s">
        <v>1200</v>
      </c>
      <c r="AO7" s="55">
        <v>0.122</v>
      </c>
      <c r="AP7" s="12" t="s">
        <v>1199</v>
      </c>
      <c r="AQ7" s="5" t="s">
        <v>1200</v>
      </c>
      <c r="AR7" s="3">
        <v>0.122</v>
      </c>
      <c r="AS7" s="12" t="s">
        <v>1207</v>
      </c>
      <c r="AT7" s="5" t="s">
        <v>1208</v>
      </c>
      <c r="AU7" s="3">
        <v>0.1053</v>
      </c>
      <c r="AV7" s="78" t="s">
        <v>1199</v>
      </c>
      <c r="AW7" s="81" t="s">
        <v>1200</v>
      </c>
      <c r="AX7" s="3">
        <v>9.9599999999999994E-2</v>
      </c>
      <c r="AY7" s="5" t="s">
        <v>1207</v>
      </c>
      <c r="AZ7" s="5" t="s">
        <v>1208</v>
      </c>
      <c r="BA7" s="129">
        <v>9.9599999999999994E-2</v>
      </c>
      <c r="BB7" s="5" t="s">
        <v>1209</v>
      </c>
      <c r="BC7" s="5" t="s">
        <v>1210</v>
      </c>
      <c r="BD7" s="128">
        <v>0.10929999999999999</v>
      </c>
      <c r="BE7" s="137" t="s">
        <v>1209</v>
      </c>
      <c r="BF7" s="137" t="s">
        <v>1210</v>
      </c>
      <c r="BG7" s="139">
        <v>7.6200000000000004E-2</v>
      </c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</row>
    <row r="8" spans="1:71" x14ac:dyDescent="0.2">
      <c r="A8" s="5" t="s">
        <v>1187</v>
      </c>
      <c r="B8" s="5" t="s">
        <v>1188</v>
      </c>
      <c r="C8" s="3">
        <v>0.1285</v>
      </c>
      <c r="D8" s="26" t="s">
        <v>1187</v>
      </c>
      <c r="E8" s="5" t="s">
        <v>1188</v>
      </c>
      <c r="F8" s="3">
        <v>0.1285</v>
      </c>
      <c r="G8" s="12" t="s">
        <v>1189</v>
      </c>
      <c r="H8" s="5" t="s">
        <v>1190</v>
      </c>
      <c r="I8" s="3">
        <v>0.1285</v>
      </c>
      <c r="J8" s="12" t="s">
        <v>1203</v>
      </c>
      <c r="K8" s="5" t="s">
        <v>1204</v>
      </c>
      <c r="L8" s="3">
        <v>0.12870000000000001</v>
      </c>
      <c r="M8" s="20" t="s">
        <v>1193</v>
      </c>
      <c r="N8" s="23" t="s">
        <v>1194</v>
      </c>
      <c r="O8" s="3">
        <v>0.1285</v>
      </c>
      <c r="P8" s="12" t="s">
        <v>1191</v>
      </c>
      <c r="Q8" s="5" t="s">
        <v>1192</v>
      </c>
      <c r="R8" s="3">
        <v>0.1353</v>
      </c>
      <c r="S8" s="13" t="s">
        <v>1205</v>
      </c>
      <c r="T8" s="11" t="s">
        <v>1206</v>
      </c>
      <c r="U8" s="3">
        <v>0.13500000000000001</v>
      </c>
      <c r="V8" s="12" t="s">
        <v>1169</v>
      </c>
      <c r="W8" s="5" t="s">
        <v>1170</v>
      </c>
      <c r="X8" s="3">
        <v>7.4999999999999997E-2</v>
      </c>
      <c r="Y8" s="19" t="s">
        <v>69</v>
      </c>
      <c r="Z8" s="18" t="s">
        <v>70</v>
      </c>
      <c r="AA8" s="3">
        <v>0.15</v>
      </c>
      <c r="AB8" s="19" t="s">
        <v>71</v>
      </c>
      <c r="AC8" s="18" t="s">
        <v>72</v>
      </c>
      <c r="AD8" s="3">
        <v>0.15</v>
      </c>
      <c r="AE8" s="83" t="s">
        <v>148</v>
      </c>
      <c r="AF8" s="82" t="s">
        <v>149</v>
      </c>
      <c r="AG8" s="3">
        <v>8.3299999999999999E-2</v>
      </c>
      <c r="AH8" s="83" t="s">
        <v>1211</v>
      </c>
      <c r="AI8" s="82" t="s">
        <v>122</v>
      </c>
      <c r="AJ8" s="3">
        <v>8.3299999999999999E-2</v>
      </c>
      <c r="AK8" s="83" t="s">
        <v>1212</v>
      </c>
      <c r="AL8" s="82" t="s">
        <v>1213</v>
      </c>
      <c r="AM8" s="14">
        <v>0.10589999999999999</v>
      </c>
      <c r="AN8" s="12" t="s">
        <v>1208</v>
      </c>
      <c r="AO8" s="55">
        <v>0.122</v>
      </c>
      <c r="AP8" s="12" t="s">
        <v>1207</v>
      </c>
      <c r="AQ8" s="5" t="s">
        <v>1208</v>
      </c>
      <c r="AR8" s="3">
        <v>0.122</v>
      </c>
      <c r="AS8" s="12" t="s">
        <v>1214</v>
      </c>
      <c r="AT8" s="5" t="s">
        <v>1215</v>
      </c>
      <c r="AU8" s="3">
        <v>0.1053</v>
      </c>
      <c r="AV8" s="26" t="s">
        <v>1207</v>
      </c>
      <c r="AW8" s="4" t="s">
        <v>1208</v>
      </c>
      <c r="AX8" s="3">
        <v>9.9599999999999994E-2</v>
      </c>
      <c r="AY8" s="5" t="s">
        <v>1214</v>
      </c>
      <c r="AZ8" s="5" t="s">
        <v>1215</v>
      </c>
      <c r="BA8" s="129">
        <v>9.9599999999999994E-2</v>
      </c>
      <c r="BB8" s="5" t="s">
        <v>1216</v>
      </c>
      <c r="BC8" s="5" t="s">
        <v>1217</v>
      </c>
      <c r="BD8" s="128">
        <v>0.10929999999999999</v>
      </c>
      <c r="BE8" s="137" t="s">
        <v>1216</v>
      </c>
      <c r="BF8" s="137" t="s">
        <v>1217</v>
      </c>
      <c r="BG8" s="139">
        <v>7.6200000000000004E-2</v>
      </c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</row>
    <row r="9" spans="1:71" x14ac:dyDescent="0.2">
      <c r="A9" s="5" t="s">
        <v>1185</v>
      </c>
      <c r="B9" s="5" t="s">
        <v>1186</v>
      </c>
      <c r="C9" s="3">
        <v>0.14449999999999999</v>
      </c>
      <c r="D9" s="26" t="s">
        <v>1189</v>
      </c>
      <c r="E9" s="5" t="s">
        <v>1190</v>
      </c>
      <c r="F9" s="3">
        <v>0.14449999999999999</v>
      </c>
      <c r="G9" s="13" t="s">
        <v>1203</v>
      </c>
      <c r="H9" s="11" t="s">
        <v>1204</v>
      </c>
      <c r="I9" s="3">
        <v>0.14449999999999999</v>
      </c>
      <c r="J9" s="13" t="s">
        <v>1191</v>
      </c>
      <c r="K9" s="11" t="s">
        <v>1192</v>
      </c>
      <c r="L9" s="46">
        <v>0.14419999999999999</v>
      </c>
      <c r="M9" s="20" t="s">
        <v>1191</v>
      </c>
      <c r="N9" s="23" t="s">
        <v>1192</v>
      </c>
      <c r="O9" s="3">
        <v>0.14449999999999999</v>
      </c>
      <c r="P9" s="13" t="s">
        <v>1193</v>
      </c>
      <c r="Q9" s="11" t="s">
        <v>1194</v>
      </c>
      <c r="R9" s="3">
        <v>0.1353</v>
      </c>
      <c r="S9" s="12" t="s">
        <v>1169</v>
      </c>
      <c r="T9" s="5" t="s">
        <v>1170</v>
      </c>
      <c r="U9" s="3">
        <v>0.13500000000000001</v>
      </c>
      <c r="V9" s="12" t="s">
        <v>1171</v>
      </c>
      <c r="W9" s="5" t="s">
        <v>1172</v>
      </c>
      <c r="X9" s="3">
        <v>7.4999999999999997E-2</v>
      </c>
      <c r="Y9" s="12" t="s">
        <v>1218</v>
      </c>
      <c r="Z9" s="5" t="s">
        <v>72</v>
      </c>
      <c r="AA9" s="3">
        <v>0.15</v>
      </c>
      <c r="AB9" s="12" t="s">
        <v>148</v>
      </c>
      <c r="AC9" s="5" t="s">
        <v>149</v>
      </c>
      <c r="AD9" s="3">
        <v>0.15</v>
      </c>
      <c r="AE9" s="12" t="s">
        <v>121</v>
      </c>
      <c r="AF9" s="5" t="s">
        <v>122</v>
      </c>
      <c r="AG9" s="3">
        <v>8.3299999999999999E-2</v>
      </c>
      <c r="AH9" s="12" t="s">
        <v>1212</v>
      </c>
      <c r="AI9" s="5" t="s">
        <v>1213</v>
      </c>
      <c r="AJ9" s="3">
        <v>8.3299999999999999E-2</v>
      </c>
      <c r="AK9" s="12" t="s">
        <v>182</v>
      </c>
      <c r="AL9" s="5" t="s">
        <v>183</v>
      </c>
      <c r="AM9" s="14">
        <v>0.10589999999999999</v>
      </c>
      <c r="AN9" s="105" t="s">
        <v>666</v>
      </c>
      <c r="AO9" s="152">
        <f>SUM(AO1:AO5)</f>
        <v>0.6341</v>
      </c>
      <c r="AP9" s="105" t="s">
        <v>665</v>
      </c>
      <c r="AQ9" s="104" t="s">
        <v>666</v>
      </c>
      <c r="AR9" s="152">
        <f>SUM(AR1:AR5)</f>
        <v>0.6341</v>
      </c>
      <c r="AS9" s="105" t="s">
        <v>665</v>
      </c>
      <c r="AT9" s="104" t="s">
        <v>666</v>
      </c>
      <c r="AU9" s="152">
        <f>SUM(AU1:AU5)</f>
        <v>0.68410000000000004</v>
      </c>
      <c r="AV9" s="4" t="s">
        <v>1214</v>
      </c>
      <c r="AW9" s="4" t="s">
        <v>1215</v>
      </c>
      <c r="AX9" s="3">
        <v>9.9599999999999994E-2</v>
      </c>
      <c r="AY9" s="5" t="s">
        <v>1219</v>
      </c>
      <c r="AZ9" s="5" t="s">
        <v>1220</v>
      </c>
      <c r="BA9" s="129">
        <v>9.9599999999999994E-2</v>
      </c>
      <c r="BB9" s="82" t="s">
        <v>1207</v>
      </c>
      <c r="BC9" s="82" t="s">
        <v>1208</v>
      </c>
      <c r="BD9" s="128">
        <v>9.8400000000000001E-2</v>
      </c>
      <c r="BE9" s="137" t="s">
        <v>1221</v>
      </c>
      <c r="BF9" s="137" t="s">
        <v>1222</v>
      </c>
      <c r="BG9" s="139">
        <v>9.5200000000000007E-2</v>
      </c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</row>
    <row r="10" spans="1:71" x14ac:dyDescent="0.2">
      <c r="A10" s="105" t="s">
        <v>665</v>
      </c>
      <c r="B10" s="153" t="s">
        <v>666</v>
      </c>
      <c r="C10" s="152">
        <f>SUM(C2:C5)</f>
        <v>0.505</v>
      </c>
      <c r="D10" s="105" t="s">
        <v>665</v>
      </c>
      <c r="E10" s="153" t="s">
        <v>666</v>
      </c>
      <c r="F10" s="152">
        <f>SUM(F2:F5)</f>
        <v>0.505</v>
      </c>
      <c r="G10" s="105" t="s">
        <v>665</v>
      </c>
      <c r="H10" s="153" t="s">
        <v>666</v>
      </c>
      <c r="I10" s="152">
        <f>SUM(I2:I5)</f>
        <v>0.505</v>
      </c>
      <c r="J10" s="105" t="s">
        <v>665</v>
      </c>
      <c r="K10" s="153" t="s">
        <v>666</v>
      </c>
      <c r="L10" s="152">
        <f>SUM(L2:L5)</f>
        <v>0.50529999999999997</v>
      </c>
      <c r="M10" s="105" t="s">
        <v>665</v>
      </c>
      <c r="N10" s="153" t="s">
        <v>666</v>
      </c>
      <c r="O10" s="152">
        <f>SUM(O2:O5)</f>
        <v>0.505</v>
      </c>
      <c r="P10" s="11" t="s">
        <v>1205</v>
      </c>
      <c r="Q10" s="11" t="s">
        <v>1223</v>
      </c>
      <c r="R10" s="3">
        <v>0.1353</v>
      </c>
      <c r="S10" s="105" t="s">
        <v>665</v>
      </c>
      <c r="T10" s="104" t="s">
        <v>666</v>
      </c>
      <c r="U10" s="152">
        <f>SUM(U2:U5)</f>
        <v>0.46</v>
      </c>
      <c r="V10" s="18" t="s">
        <v>65</v>
      </c>
      <c r="W10" s="18" t="s">
        <v>66</v>
      </c>
      <c r="X10" s="3">
        <v>0.09</v>
      </c>
      <c r="Y10" s="12" t="s">
        <v>121</v>
      </c>
      <c r="Z10" s="5" t="s">
        <v>122</v>
      </c>
      <c r="AA10" s="3">
        <v>0.15</v>
      </c>
      <c r="AB10" s="12" t="s">
        <v>121</v>
      </c>
      <c r="AC10" s="5" t="s">
        <v>122</v>
      </c>
      <c r="AD10" s="3">
        <v>0.15</v>
      </c>
      <c r="AE10" s="12" t="s">
        <v>1212</v>
      </c>
      <c r="AF10" s="5" t="s">
        <v>1213</v>
      </c>
      <c r="AG10" s="3">
        <v>8.3299999999999999E-2</v>
      </c>
      <c r="AH10" s="12" t="s">
        <v>182</v>
      </c>
      <c r="AI10" s="5" t="s">
        <v>183</v>
      </c>
      <c r="AJ10" s="3">
        <v>8.3299999999999999E-2</v>
      </c>
      <c r="AK10" s="12" t="s">
        <v>310</v>
      </c>
      <c r="AL10" s="5" t="s">
        <v>311</v>
      </c>
      <c r="AM10" s="14">
        <v>0.10589999999999999</v>
      </c>
      <c r="AN10" s="105" t="s">
        <v>1224</v>
      </c>
      <c r="AO10" s="70">
        <f>SUM(AO6:AO8)</f>
        <v>0.36599999999999999</v>
      </c>
      <c r="AP10" s="104" t="s">
        <v>1225</v>
      </c>
      <c r="AQ10" s="104" t="s">
        <v>1224</v>
      </c>
      <c r="AR10" s="70">
        <f>SUM(AR6:AR8)</f>
        <v>0.36599999999999999</v>
      </c>
      <c r="AS10" s="104" t="s">
        <v>1225</v>
      </c>
      <c r="AT10" s="104" t="s">
        <v>1224</v>
      </c>
      <c r="AU10" s="70">
        <f>SUM(AU6:AU8)</f>
        <v>0.31590000000000001</v>
      </c>
      <c r="AV10" s="104" t="s">
        <v>665</v>
      </c>
      <c r="AW10" s="104" t="s">
        <v>666</v>
      </c>
      <c r="AX10" s="125">
        <f>SUM(AX2:AX6)</f>
        <v>0.70100000000000007</v>
      </c>
      <c r="AY10" s="104" t="s">
        <v>665</v>
      </c>
      <c r="AZ10" s="104" t="s">
        <v>666</v>
      </c>
      <c r="BA10" s="91">
        <v>0.70109999999999995</v>
      </c>
      <c r="BB10" s="5" t="s">
        <v>1214</v>
      </c>
      <c r="BC10" s="5" t="s">
        <v>1215</v>
      </c>
      <c r="BD10" s="128">
        <v>0.1066</v>
      </c>
      <c r="BE10" s="137" t="s">
        <v>1214</v>
      </c>
      <c r="BF10" s="137" t="s">
        <v>1215</v>
      </c>
      <c r="BG10" s="139">
        <v>0.1143</v>
      </c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</row>
    <row r="11" spans="1:71" x14ac:dyDescent="0.2">
      <c r="A11" s="105" t="s">
        <v>1225</v>
      </c>
      <c r="B11" s="104" t="s">
        <v>1224</v>
      </c>
      <c r="C11" s="70">
        <f>SUM(C6:C9)</f>
        <v>0.495</v>
      </c>
      <c r="D11" s="105" t="s">
        <v>1225</v>
      </c>
      <c r="E11" s="104" t="s">
        <v>1224</v>
      </c>
      <c r="F11" s="70">
        <f>SUM(F6:F9)</f>
        <v>0.495</v>
      </c>
      <c r="G11" s="105" t="s">
        <v>1225</v>
      </c>
      <c r="H11" s="104" t="s">
        <v>1224</v>
      </c>
      <c r="I11" s="70">
        <f>SUM(I6:I9)</f>
        <v>0.495</v>
      </c>
      <c r="J11" s="105" t="s">
        <v>1225</v>
      </c>
      <c r="K11" s="104" t="s">
        <v>1224</v>
      </c>
      <c r="L11" s="70">
        <f>SUM(L6:L9)</f>
        <v>0.49490000000000001</v>
      </c>
      <c r="M11" s="105" t="s">
        <v>1225</v>
      </c>
      <c r="N11" s="104" t="s">
        <v>1224</v>
      </c>
      <c r="O11" s="70">
        <f>SUM(O6:O9)</f>
        <v>0.495</v>
      </c>
      <c r="P11" s="105" t="s">
        <v>665</v>
      </c>
      <c r="Q11" s="104" t="s">
        <v>666</v>
      </c>
      <c r="R11" s="152">
        <f>SUM(R2:R6)</f>
        <v>0.4587</v>
      </c>
      <c r="S11" s="105" t="s">
        <v>1225</v>
      </c>
      <c r="T11" s="104" t="s">
        <v>1224</v>
      </c>
      <c r="U11" s="70">
        <f>SUM(U6:U9)</f>
        <v>0.54</v>
      </c>
      <c r="V11" s="44" t="s">
        <v>67</v>
      </c>
      <c r="W11" s="44" t="s">
        <v>68</v>
      </c>
      <c r="X11" s="3">
        <v>0.09</v>
      </c>
      <c r="Y11" s="105" t="s">
        <v>665</v>
      </c>
      <c r="Z11" s="104" t="s">
        <v>666</v>
      </c>
      <c r="AA11" s="152">
        <f>SUM(AA2:AA4)</f>
        <v>0.24990000000000001</v>
      </c>
      <c r="AB11" s="105" t="s">
        <v>665</v>
      </c>
      <c r="AC11" s="104" t="s">
        <v>666</v>
      </c>
      <c r="AD11" s="152">
        <f>SUM(AD2:AD4)</f>
        <v>0.24990000000000001</v>
      </c>
      <c r="AE11" s="105" t="s">
        <v>665</v>
      </c>
      <c r="AF11" s="104" t="s">
        <v>666</v>
      </c>
      <c r="AG11" s="152">
        <f>SUM(AG2:AG4)</f>
        <v>0.44999999999999996</v>
      </c>
      <c r="AH11" s="105" t="s">
        <v>665</v>
      </c>
      <c r="AI11" s="104" t="s">
        <v>666</v>
      </c>
      <c r="AJ11" s="152">
        <f>SUM(AJ2:AJ4)</f>
        <v>0.44999999999999996</v>
      </c>
      <c r="AK11" s="105" t="s">
        <v>665</v>
      </c>
      <c r="AL11" s="104" t="s">
        <v>666</v>
      </c>
      <c r="AM11" s="152">
        <f>SUM(AM2:AM4)</f>
        <v>0.39999999999999997</v>
      </c>
      <c r="AN11" s="61" t="s">
        <v>744</v>
      </c>
      <c r="AO11" s="74">
        <f>SUM(AO9:AO10)</f>
        <v>1.0001</v>
      </c>
      <c r="AP11" s="61"/>
      <c r="AQ11" s="61" t="s">
        <v>744</v>
      </c>
      <c r="AR11" s="74">
        <f>SUM(AR9:AR10)</f>
        <v>1.0001</v>
      </c>
      <c r="AS11" s="61"/>
      <c r="AT11" s="61" t="s">
        <v>744</v>
      </c>
      <c r="AU11" s="74">
        <f>SUM(AU9:AU10)</f>
        <v>1</v>
      </c>
      <c r="AV11" s="104" t="s">
        <v>1225</v>
      </c>
      <c r="AW11" s="104" t="s">
        <v>1224</v>
      </c>
      <c r="AX11" s="70">
        <f>SUM(AX7:AX9)</f>
        <v>0.29879999999999995</v>
      </c>
      <c r="AY11" s="104" t="s">
        <v>1225</v>
      </c>
      <c r="AZ11" s="104" t="s">
        <v>1224</v>
      </c>
      <c r="BA11" s="91">
        <v>0.2989</v>
      </c>
      <c r="BB11" s="5" t="s">
        <v>1219</v>
      </c>
      <c r="BC11" s="5" t="s">
        <v>1220</v>
      </c>
      <c r="BD11" s="128">
        <v>0.1066</v>
      </c>
      <c r="BE11" s="137" t="s">
        <v>1219</v>
      </c>
      <c r="BF11" s="137" t="s">
        <v>1220</v>
      </c>
      <c r="BG11" s="139">
        <v>0.11899999999999999</v>
      </c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</row>
    <row r="12" spans="1:71" x14ac:dyDescent="0.2">
      <c r="A12" s="65"/>
      <c r="B12" s="61" t="s">
        <v>744</v>
      </c>
      <c r="C12" s="74">
        <f>SUM(C10:C11)</f>
        <v>1</v>
      </c>
      <c r="D12" s="65"/>
      <c r="E12" s="61" t="s">
        <v>744</v>
      </c>
      <c r="F12" s="74">
        <f>SUM(F10:F11)</f>
        <v>1</v>
      </c>
      <c r="G12" s="65"/>
      <c r="H12" s="61" t="s">
        <v>744</v>
      </c>
      <c r="I12" s="74">
        <f>SUM(I10:I11)</f>
        <v>1</v>
      </c>
      <c r="J12" s="65"/>
      <c r="K12" s="61" t="s">
        <v>744</v>
      </c>
      <c r="L12" s="74">
        <f>SUM(L10:L11)</f>
        <v>1.0002</v>
      </c>
      <c r="M12" s="65"/>
      <c r="N12" s="61" t="s">
        <v>744</v>
      </c>
      <c r="O12" s="74">
        <f>SUM(O10:O11)</f>
        <v>1</v>
      </c>
      <c r="P12" s="105" t="s">
        <v>1225</v>
      </c>
      <c r="Q12" s="104" t="s">
        <v>1224</v>
      </c>
      <c r="R12" s="70">
        <f>SUM(R7:R10)</f>
        <v>0.54120000000000001</v>
      </c>
      <c r="S12" s="65"/>
      <c r="T12" s="61" t="s">
        <v>744</v>
      </c>
      <c r="U12" s="74">
        <f>SUM(U10:U11)</f>
        <v>1</v>
      </c>
      <c r="V12" s="11" t="s">
        <v>96</v>
      </c>
      <c r="W12" s="11" t="s">
        <v>97</v>
      </c>
      <c r="X12" s="3">
        <v>0.09</v>
      </c>
      <c r="Y12" s="105" t="s">
        <v>1225</v>
      </c>
      <c r="Z12" s="104" t="s">
        <v>1224</v>
      </c>
      <c r="AA12" s="70">
        <f>SUM(AA5:AA7)</f>
        <v>0.30000000000000004</v>
      </c>
      <c r="AB12" s="104" t="s">
        <v>1225</v>
      </c>
      <c r="AC12" s="104" t="s">
        <v>1224</v>
      </c>
      <c r="AD12" s="70">
        <f>SUM(AD5:AD7)</f>
        <v>0.30000000000000004</v>
      </c>
      <c r="AE12" s="104" t="s">
        <v>1225</v>
      </c>
      <c r="AF12" s="104" t="s">
        <v>1224</v>
      </c>
      <c r="AG12" s="70">
        <f>SUM(AG5:AG7)</f>
        <v>0.30000000000000004</v>
      </c>
      <c r="AH12" s="104" t="s">
        <v>1225</v>
      </c>
      <c r="AI12" s="104" t="s">
        <v>1224</v>
      </c>
      <c r="AJ12" s="70">
        <f>SUM(AJ5:AJ7)</f>
        <v>0.30000000000000004</v>
      </c>
      <c r="AK12" s="104" t="s">
        <v>1225</v>
      </c>
      <c r="AL12" s="104" t="s">
        <v>1224</v>
      </c>
      <c r="AM12" s="70">
        <f>SUM(AM5:AM7)</f>
        <v>0.2823</v>
      </c>
      <c r="AV12" s="61"/>
      <c r="AW12" s="61" t="s">
        <v>744</v>
      </c>
      <c r="AX12" s="74">
        <f>SUM(AX10:AX11)</f>
        <v>0.99980000000000002</v>
      </c>
      <c r="AY12" s="61"/>
      <c r="AZ12" s="61" t="s">
        <v>744</v>
      </c>
      <c r="BA12" s="74">
        <f>SUM(BA10:BA11)</f>
        <v>1</v>
      </c>
      <c r="BB12" s="61" t="s">
        <v>665</v>
      </c>
      <c r="BC12" s="61" t="s">
        <v>666</v>
      </c>
      <c r="BD12" s="124">
        <v>0.6885</v>
      </c>
      <c r="BE12" s="137" t="s">
        <v>1226</v>
      </c>
      <c r="BF12" s="137" t="s">
        <v>1227</v>
      </c>
      <c r="BG12" s="139">
        <v>0.11899999999999999</v>
      </c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</row>
    <row r="13" spans="1:7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65"/>
      <c r="Q13" s="61" t="s">
        <v>744</v>
      </c>
      <c r="R13" s="74">
        <f>SUM(R11:R12)</f>
        <v>0.99990000000000001</v>
      </c>
      <c r="V13" s="11" t="s">
        <v>69</v>
      </c>
      <c r="W13" s="11" t="s">
        <v>70</v>
      </c>
      <c r="X13" s="3">
        <v>0.09</v>
      </c>
      <c r="Y13" s="57" t="s">
        <v>696</v>
      </c>
      <c r="Z13" s="104" t="s">
        <v>697</v>
      </c>
      <c r="AA13" s="70">
        <f>SUM(AA8:AA10)</f>
        <v>0.44999999999999996</v>
      </c>
      <c r="AB13" s="2" t="s">
        <v>696</v>
      </c>
      <c r="AC13" s="104" t="s">
        <v>697</v>
      </c>
      <c r="AD13" s="70">
        <f>SUM(AD8:AD10)</f>
        <v>0.44999999999999996</v>
      </c>
      <c r="AE13" s="2" t="s">
        <v>696</v>
      </c>
      <c r="AF13" s="104" t="s">
        <v>697</v>
      </c>
      <c r="AG13" s="70">
        <f>SUM(AG8:AG10)</f>
        <v>0.24990000000000001</v>
      </c>
      <c r="AH13" s="2" t="s">
        <v>696</v>
      </c>
      <c r="AI13" s="104" t="s">
        <v>697</v>
      </c>
      <c r="AJ13" s="70">
        <f>SUM(AJ8:AJ10)</f>
        <v>0.24990000000000001</v>
      </c>
      <c r="AK13" s="2" t="s">
        <v>696</v>
      </c>
      <c r="AL13" s="104" t="s">
        <v>697</v>
      </c>
      <c r="AM13" s="70">
        <f>SUM(AM8:AM10)</f>
        <v>0.31769999999999998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61" t="s">
        <v>1225</v>
      </c>
      <c r="BC13" s="61" t="s">
        <v>1224</v>
      </c>
      <c r="BD13" s="124">
        <v>0.3115</v>
      </c>
      <c r="BE13" s="61" t="s">
        <v>665</v>
      </c>
      <c r="BF13" s="61" t="s">
        <v>666</v>
      </c>
      <c r="BG13" s="85">
        <v>0.64759999999999995</v>
      </c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</row>
    <row r="14" spans="1:7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5" t="s">
        <v>1218</v>
      </c>
      <c r="W14" s="5" t="s">
        <v>72</v>
      </c>
      <c r="X14" s="3">
        <v>0.09</v>
      </c>
      <c r="Y14" s="65"/>
      <c r="Z14" s="61" t="s">
        <v>744</v>
      </c>
      <c r="AA14" s="74">
        <f>SUM(AA11:AA13)</f>
        <v>0.99990000000000001</v>
      </c>
      <c r="AB14" s="61"/>
      <c r="AC14" s="61" t="s">
        <v>744</v>
      </c>
      <c r="AD14" s="74">
        <f>SUM(AD11:AD13)</f>
        <v>0.99990000000000001</v>
      </c>
      <c r="AE14" s="61"/>
      <c r="AF14" s="61" t="s">
        <v>744</v>
      </c>
      <c r="AG14" s="74">
        <f>SUM(AG11:AG13)</f>
        <v>0.99990000000000001</v>
      </c>
      <c r="AH14" s="61"/>
      <c r="AI14" s="61" t="s">
        <v>744</v>
      </c>
      <c r="AJ14" s="74">
        <f>SUM(AJ11:AJ13)</f>
        <v>0.99990000000000001</v>
      </c>
      <c r="AK14" s="61"/>
      <c r="AL14" s="61" t="s">
        <v>744</v>
      </c>
      <c r="AM14" s="74">
        <f>SUM(AM11:AM13)</f>
        <v>0.99999999999999989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61"/>
      <c r="BC14" s="61" t="s">
        <v>744</v>
      </c>
      <c r="BD14" s="151">
        <f>SUM(BD12:BD13)</f>
        <v>1</v>
      </c>
      <c r="BE14" s="61" t="s">
        <v>1225</v>
      </c>
      <c r="BF14" s="61" t="s">
        <v>1224</v>
      </c>
      <c r="BG14" s="85">
        <v>0.35239999999999999</v>
      </c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</row>
    <row r="15" spans="1:7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05" t="s">
        <v>665</v>
      </c>
      <c r="W15" s="104" t="s">
        <v>666</v>
      </c>
      <c r="X15" s="152">
        <f>SUM(X2:X5)</f>
        <v>0.25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61"/>
      <c r="BF15" s="61" t="s">
        <v>744</v>
      </c>
      <c r="BG15" s="74">
        <f>SUM(BG13:BG14)</f>
        <v>1</v>
      </c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</row>
    <row r="16" spans="1:7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05" t="s">
        <v>1225</v>
      </c>
      <c r="W16" s="104" t="s">
        <v>1224</v>
      </c>
      <c r="X16" s="70">
        <f>SUM(X6:X9)</f>
        <v>0.3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</row>
    <row r="17" spans="1:7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57" t="s">
        <v>696</v>
      </c>
      <c r="W17" s="104" t="s">
        <v>697</v>
      </c>
      <c r="X17" s="70">
        <f>SUM(X10:X14)</f>
        <v>0.44999999999999996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</row>
    <row r="18" spans="1:7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65"/>
      <c r="W18" s="61" t="s">
        <v>744</v>
      </c>
      <c r="X18" s="74">
        <f>SUM(X15:X17)</f>
        <v>1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</row>
    <row r="19" spans="1:7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</row>
    <row r="20" spans="1:7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</row>
    <row r="21" spans="1:7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</row>
    <row r="22" spans="1:7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</row>
    <row r="23" spans="1:7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</row>
    <row r="24" spans="1:7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</row>
    <row r="25" spans="1:7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</row>
    <row r="26" spans="1:7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</row>
    <row r="27" spans="1:7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</row>
    <row r="28" spans="1:7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</row>
    <row r="29" spans="1:7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</row>
    <row r="30" spans="1:7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</row>
    <row r="31" spans="1:7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</row>
    <row r="32" spans="1:7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</row>
    <row r="33" spans="1:7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</row>
    <row r="34" spans="1:7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</row>
    <row r="35" spans="1:7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</row>
    <row r="36" spans="1:7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</row>
    <row r="37" spans="1:7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</row>
    <row r="38" spans="1:7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</row>
    <row r="39" spans="1:7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</row>
    <row r="40" spans="1:7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</row>
    <row r="41" spans="1:7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</row>
    <row r="42" spans="1:7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</row>
    <row r="43" spans="1:7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</row>
    <row r="44" spans="1:7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</row>
    <row r="45" spans="1:7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</row>
    <row r="46" spans="1:7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</row>
    <row r="47" spans="1:7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</row>
    <row r="48" spans="1:7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</row>
    <row r="49" spans="1:7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</row>
    <row r="50" spans="1:7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</row>
    <row r="51" spans="1:7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</row>
    <row r="52" spans="1:7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</row>
    <row r="53" spans="1:7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</row>
    <row r="54" spans="1:7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</row>
    <row r="55" spans="1:7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</row>
    <row r="56" spans="1:7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</row>
    <row r="57" spans="1:7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</row>
    <row r="58" spans="1:7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</row>
    <row r="59" spans="1:7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</row>
    <row r="60" spans="1:7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</row>
    <row r="61" spans="1:7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</row>
    <row r="62" spans="1:7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</row>
    <row r="63" spans="1:7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</row>
    <row r="64" spans="1:7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</row>
    <row r="65" spans="1:7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</row>
    <row r="66" spans="1:7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</row>
    <row r="67" spans="1:7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</row>
    <row r="68" spans="1:7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</row>
    <row r="69" spans="1:7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</row>
    <row r="70" spans="1:7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</row>
    <row r="71" spans="1:7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</row>
    <row r="72" spans="1:7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</row>
    <row r="73" spans="1:7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</row>
    <row r="74" spans="1:7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</row>
    <row r="75" spans="1:7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</row>
    <row r="76" spans="1:7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</row>
    <row r="77" spans="1:7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</row>
    <row r="78" spans="1:7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</row>
    <row r="79" spans="1:7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</row>
    <row r="80" spans="1:7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</row>
    <row r="81" spans="1:7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</row>
    <row r="82" spans="1:7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</row>
    <row r="83" spans="1:7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</row>
    <row r="84" spans="1:7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</row>
    <row r="85" spans="1:7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</row>
    <row r="86" spans="1:7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</row>
    <row r="87" spans="1:7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</row>
    <row r="88" spans="1:7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</row>
    <row r="89" spans="1:7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</row>
    <row r="90" spans="1:7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</row>
    <row r="91" spans="1:7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</row>
    <row r="92" spans="1:7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</row>
    <row r="93" spans="1:7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</row>
    <row r="94" spans="1:7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</row>
    <row r="95" spans="1:7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</row>
    <row r="96" spans="1:7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</row>
    <row r="97" spans="1:7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</row>
    <row r="98" spans="1:7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</row>
    <row r="99" spans="1:7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</row>
    <row r="100" spans="1:7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</row>
    <row r="101" spans="1:7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</row>
    <row r="102" spans="1:7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</row>
    <row r="103" spans="1:7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</row>
    <row r="104" spans="1:7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</row>
    <row r="105" spans="1:7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</row>
    <row r="106" spans="1:7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</row>
    <row r="107" spans="1:7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</row>
    <row r="108" spans="1:7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</row>
    <row r="109" spans="1:7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</row>
    <row r="110" spans="1:7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</row>
    <row r="111" spans="1:7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</row>
    <row r="112" spans="1:7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</row>
    <row r="113" spans="1:7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</row>
    <row r="114" spans="1:7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</row>
    <row r="115" spans="1:7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</row>
    <row r="116" spans="1:7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</row>
    <row r="117" spans="1:7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</row>
    <row r="118" spans="1:7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</row>
    <row r="119" spans="1:7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</row>
    <row r="120" spans="1:7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</row>
    <row r="121" spans="1:7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</row>
    <row r="122" spans="1:7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</row>
    <row r="123" spans="1:7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</row>
    <row r="124" spans="1:7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</row>
    <row r="125" spans="1:7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</row>
    <row r="126" spans="1:7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</row>
    <row r="127" spans="1:7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</row>
    <row r="128" spans="1:7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</row>
    <row r="129" spans="1:7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</row>
    <row r="130" spans="1:7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</row>
    <row r="131" spans="1:7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</row>
    <row r="132" spans="1:7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</row>
    <row r="133" spans="1:7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</row>
    <row r="134" spans="1:7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</row>
    <row r="135" spans="1:7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</row>
    <row r="136" spans="1:7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</row>
    <row r="137" spans="1:7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</row>
    <row r="138" spans="1:7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</row>
    <row r="139" spans="1:7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</row>
    <row r="140" spans="1:7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</row>
    <row r="141" spans="1:7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</row>
    <row r="142" spans="1:7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</row>
    <row r="143" spans="1:7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</row>
    <row r="144" spans="1:7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</row>
    <row r="145" spans="1:7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</row>
    <row r="146" spans="1:7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</row>
    <row r="147" spans="1:7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</row>
    <row r="148" spans="1:7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</row>
    <row r="149" spans="1:7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</row>
    <row r="150" spans="1:7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</row>
    <row r="151" spans="1:7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</row>
    <row r="152" spans="1:7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</row>
    <row r="153" spans="1:7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</row>
    <row r="154" spans="1:7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</row>
    <row r="155" spans="1:7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</row>
    <row r="156" spans="1:7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</row>
    <row r="157" spans="1:7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</row>
    <row r="158" spans="1:7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</row>
    <row r="159" spans="1:7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</row>
    <row r="160" spans="1:7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</row>
    <row r="161" spans="1:7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</row>
    <row r="162" spans="1:7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</row>
    <row r="163" spans="1:7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</row>
    <row r="164" spans="1:7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</row>
    <row r="165" spans="1:7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</row>
    <row r="166" spans="1:7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</row>
    <row r="167" spans="1:7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</row>
    <row r="168" spans="1:7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</row>
    <row r="169" spans="1:7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</row>
    <row r="170" spans="1:7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</row>
    <row r="171" spans="1:7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</row>
    <row r="172" spans="1:7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</row>
    <row r="173" spans="1:7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</row>
    <row r="174" spans="1:7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</row>
    <row r="175" spans="1:7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</row>
    <row r="176" spans="1:7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</row>
    <row r="177" spans="1:7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</row>
    <row r="178" spans="1:7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</row>
    <row r="179" spans="1:7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</row>
    <row r="180" spans="1:7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</row>
    <row r="181" spans="1:7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</row>
    <row r="182" spans="1:7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</row>
    <row r="183" spans="1:7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</row>
    <row r="184" spans="1:7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</row>
    <row r="185" spans="1:7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</row>
    <row r="186" spans="1:7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</row>
    <row r="187" spans="1:7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</row>
    <row r="188" spans="1:7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</row>
    <row r="189" spans="1:7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</row>
    <row r="190" spans="1:7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</row>
    <row r="191" spans="1:7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</row>
    <row r="192" spans="1:7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</row>
    <row r="193" spans="1:7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</row>
    <row r="194" spans="1:7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</row>
    <row r="195" spans="1:7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</row>
    <row r="196" spans="1:7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</row>
    <row r="197" spans="1:7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</row>
    <row r="198" spans="1:7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</row>
    <row r="199" spans="1:7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</row>
    <row r="200" spans="1:7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</row>
  </sheetData>
  <mergeCells count="19">
    <mergeCell ref="AH1:AI1"/>
    <mergeCell ref="AP1:AQ1"/>
    <mergeCell ref="AV1:AW1"/>
    <mergeCell ref="BB1:BC1"/>
    <mergeCell ref="BE1:BF1"/>
    <mergeCell ref="AY1:AZ1"/>
    <mergeCell ref="AS1:AT1"/>
    <mergeCell ref="AK1:AL1"/>
    <mergeCell ref="A1:B1"/>
    <mergeCell ref="AE1:AF1"/>
    <mergeCell ref="Y1:Z1"/>
    <mergeCell ref="S1:T1"/>
    <mergeCell ref="M1:N1"/>
    <mergeCell ref="G1:H1"/>
    <mergeCell ref="D1:E1"/>
    <mergeCell ref="J1:K1"/>
    <mergeCell ref="P1:Q1"/>
    <mergeCell ref="V1:W1"/>
    <mergeCell ref="AB1:AC1"/>
  </mergeCells>
  <phoneticPr fontId="6" type="noConversion"/>
  <pageMargins left="0.7" right="0.7" top="0.75" bottom="0.75" header="0.3" footer="0.3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14"/>
  <sheetViews>
    <sheetView workbookViewId="0">
      <selection sqref="A1:B1"/>
    </sheetView>
  </sheetViews>
  <sheetFormatPr defaultColWidth="14" defaultRowHeight="12.75" x14ac:dyDescent="0.2"/>
  <cols>
    <col min="1" max="28" width="16" customWidth="1"/>
    <col min="29" max="36" width="14" customWidth="1"/>
  </cols>
  <sheetData>
    <row r="1" spans="1:40" x14ac:dyDescent="0.2">
      <c r="A1" s="207">
        <v>46098</v>
      </c>
      <c r="B1" s="207"/>
      <c r="C1" s="146" t="s">
        <v>0</v>
      </c>
      <c r="D1" s="207">
        <v>46063</v>
      </c>
      <c r="E1" s="207"/>
      <c r="F1" s="146" t="s">
        <v>0</v>
      </c>
      <c r="G1" s="207">
        <v>46037</v>
      </c>
      <c r="H1" s="207"/>
      <c r="I1" s="146" t="s">
        <v>0</v>
      </c>
      <c r="J1" s="207">
        <v>46000</v>
      </c>
      <c r="K1" s="207"/>
      <c r="L1" s="146" t="s">
        <v>0</v>
      </c>
      <c r="M1" s="207">
        <v>45960</v>
      </c>
      <c r="N1" s="207"/>
      <c r="O1" s="146" t="s">
        <v>0</v>
      </c>
      <c r="P1" s="207">
        <v>45930</v>
      </c>
      <c r="Q1" s="207"/>
      <c r="R1" s="146" t="s">
        <v>0</v>
      </c>
      <c r="S1" s="207">
        <v>45895</v>
      </c>
      <c r="T1" s="207"/>
      <c r="U1" s="146" t="s">
        <v>0</v>
      </c>
      <c r="V1" s="207">
        <v>45853</v>
      </c>
      <c r="W1" s="207"/>
      <c r="X1" s="146" t="s">
        <v>0</v>
      </c>
      <c r="Y1" s="207">
        <v>45818</v>
      </c>
      <c r="Z1" s="207"/>
      <c r="AA1" s="146" t="s">
        <v>0</v>
      </c>
      <c r="AB1" s="207">
        <v>45776</v>
      </c>
      <c r="AC1" s="207"/>
      <c r="AD1" s="146" t="s">
        <v>0</v>
      </c>
      <c r="AE1" s="207">
        <v>45741</v>
      </c>
      <c r="AF1" s="207"/>
      <c r="AG1" s="146" t="s">
        <v>0</v>
      </c>
      <c r="AH1" s="207">
        <v>45708</v>
      </c>
      <c r="AI1" s="212"/>
      <c r="AJ1" s="146" t="s">
        <v>0</v>
      </c>
      <c r="AK1" s="211">
        <v>45680</v>
      </c>
      <c r="AL1" s="211"/>
      <c r="AM1" s="149" t="s">
        <v>0</v>
      </c>
    </row>
    <row r="2" spans="1:40" x14ac:dyDescent="0.2">
      <c r="A2" s="5" t="s">
        <v>1228</v>
      </c>
      <c r="B2" s="5" t="s">
        <v>1229</v>
      </c>
      <c r="C2" s="3">
        <v>0.2</v>
      </c>
      <c r="D2" s="12" t="s">
        <v>1230</v>
      </c>
      <c r="E2" s="12" t="s">
        <v>1231</v>
      </c>
      <c r="F2" s="3">
        <v>0.2</v>
      </c>
      <c r="G2" s="12" t="s">
        <v>1232</v>
      </c>
      <c r="H2" s="5" t="s">
        <v>1233</v>
      </c>
      <c r="I2" s="3">
        <v>0.1</v>
      </c>
      <c r="J2" s="160" t="s">
        <v>1234</v>
      </c>
      <c r="K2" s="161" t="s">
        <v>1235</v>
      </c>
      <c r="L2" s="3">
        <v>0.1</v>
      </c>
      <c r="M2" s="12" t="s">
        <v>1236</v>
      </c>
      <c r="N2" s="4" t="s">
        <v>1237</v>
      </c>
      <c r="O2" s="3">
        <v>0.1</v>
      </c>
      <c r="P2" s="164" t="s">
        <v>1238</v>
      </c>
      <c r="Q2" s="115" t="s">
        <v>1239</v>
      </c>
      <c r="R2" s="3">
        <v>0.1</v>
      </c>
      <c r="S2" s="83" t="s">
        <v>1240</v>
      </c>
      <c r="T2" s="82" t="s">
        <v>1235</v>
      </c>
      <c r="U2" s="3">
        <v>0.1</v>
      </c>
      <c r="V2" s="12" t="s">
        <v>1241</v>
      </c>
      <c r="W2" s="5" t="s">
        <v>1242</v>
      </c>
      <c r="X2" s="3">
        <v>0.1</v>
      </c>
      <c r="Y2" s="5" t="s">
        <v>1243</v>
      </c>
      <c r="Z2" s="5" t="s">
        <v>1244</v>
      </c>
      <c r="AA2" s="3">
        <v>0.1</v>
      </c>
      <c r="AB2" s="12" t="s">
        <v>1241</v>
      </c>
      <c r="AC2" s="5" t="s">
        <v>1242</v>
      </c>
      <c r="AD2" s="3">
        <v>0.1</v>
      </c>
      <c r="AE2" s="12" t="s">
        <v>1243</v>
      </c>
      <c r="AF2" s="5" t="s">
        <v>1244</v>
      </c>
      <c r="AG2" s="3">
        <v>0.1</v>
      </c>
      <c r="AH2" s="83" t="s">
        <v>1243</v>
      </c>
      <c r="AI2" s="81" t="s">
        <v>1245</v>
      </c>
      <c r="AJ2" s="3">
        <v>0.05</v>
      </c>
      <c r="AK2" s="83" t="s">
        <v>1241</v>
      </c>
      <c r="AL2" s="82" t="s">
        <v>1246</v>
      </c>
      <c r="AM2" s="3">
        <v>0.01</v>
      </c>
      <c r="AN2" s="1"/>
    </row>
    <row r="3" spans="1:40" ht="25.5" x14ac:dyDescent="0.2">
      <c r="A3" s="82" t="s">
        <v>1247</v>
      </c>
      <c r="B3" s="82" t="s">
        <v>1248</v>
      </c>
      <c r="C3" s="3">
        <v>0.2</v>
      </c>
      <c r="D3" s="83" t="s">
        <v>1249</v>
      </c>
      <c r="E3" s="83" t="s">
        <v>1250</v>
      </c>
      <c r="F3" s="114">
        <v>0.2</v>
      </c>
      <c r="G3" s="15" t="s">
        <v>1251</v>
      </c>
      <c r="H3" s="9" t="s">
        <v>1252</v>
      </c>
      <c r="I3" s="3">
        <v>0.15</v>
      </c>
      <c r="J3" s="157" t="s">
        <v>1253</v>
      </c>
      <c r="K3" s="158" t="s">
        <v>1254</v>
      </c>
      <c r="L3" s="156">
        <v>0.2</v>
      </c>
      <c r="M3" s="15" t="s">
        <v>1255</v>
      </c>
      <c r="N3" s="17" t="s">
        <v>1256</v>
      </c>
      <c r="O3" s="3">
        <v>0.15</v>
      </c>
      <c r="P3" s="15" t="s">
        <v>1257</v>
      </c>
      <c r="Q3" s="9" t="s">
        <v>1258</v>
      </c>
      <c r="R3" s="3">
        <v>0.15</v>
      </c>
      <c r="S3" s="15" t="s">
        <v>1259</v>
      </c>
      <c r="T3" s="9" t="s">
        <v>1229</v>
      </c>
      <c r="U3" s="3">
        <v>0.15</v>
      </c>
      <c r="V3" s="83" t="s">
        <v>1260</v>
      </c>
      <c r="W3" s="82" t="s">
        <v>1261</v>
      </c>
      <c r="X3" s="55">
        <v>0.1</v>
      </c>
      <c r="Y3" s="96" t="s">
        <v>1262</v>
      </c>
      <c r="Z3" s="96" t="s">
        <v>1263</v>
      </c>
      <c r="AA3" s="3">
        <v>0.1</v>
      </c>
      <c r="AB3" s="97" t="s">
        <v>1264</v>
      </c>
      <c r="AC3" s="96" t="s">
        <v>1265</v>
      </c>
      <c r="AD3" s="3">
        <v>0.1</v>
      </c>
      <c r="AE3" s="15" t="s">
        <v>1266</v>
      </c>
      <c r="AF3" s="9" t="s">
        <v>1267</v>
      </c>
      <c r="AG3" s="3">
        <v>0.1</v>
      </c>
      <c r="AH3" s="12" t="s">
        <v>1241</v>
      </c>
      <c r="AI3" s="4" t="s">
        <v>1246</v>
      </c>
      <c r="AJ3" s="3">
        <v>0.15</v>
      </c>
      <c r="AK3" s="83" t="s">
        <v>1268</v>
      </c>
      <c r="AL3" s="82" t="s">
        <v>1269</v>
      </c>
      <c r="AM3" s="3">
        <v>0.2152</v>
      </c>
      <c r="AN3" s="1"/>
    </row>
    <row r="4" spans="1:40" ht="25.5" x14ac:dyDescent="0.2">
      <c r="A4" s="5" t="s">
        <v>1253</v>
      </c>
      <c r="B4" s="5" t="s">
        <v>1254</v>
      </c>
      <c r="C4" s="3">
        <v>0.2</v>
      </c>
      <c r="D4" s="12" t="s">
        <v>1270</v>
      </c>
      <c r="E4" s="12" t="s">
        <v>1271</v>
      </c>
      <c r="F4" s="3">
        <v>0.2</v>
      </c>
      <c r="G4" s="12" t="s">
        <v>1272</v>
      </c>
      <c r="H4" s="5" t="s">
        <v>1231</v>
      </c>
      <c r="I4" s="3">
        <v>0.25</v>
      </c>
      <c r="J4" s="157" t="s">
        <v>1273</v>
      </c>
      <c r="K4" s="158" t="s">
        <v>1274</v>
      </c>
      <c r="L4" s="156">
        <v>0.2</v>
      </c>
      <c r="M4" s="83" t="s">
        <v>1275</v>
      </c>
      <c r="N4" s="81" t="s">
        <v>1276</v>
      </c>
      <c r="O4" s="3">
        <v>0.25</v>
      </c>
      <c r="P4" s="164" t="s">
        <v>1277</v>
      </c>
      <c r="Q4" s="115" t="s">
        <v>1278</v>
      </c>
      <c r="R4" s="3">
        <v>0.25</v>
      </c>
      <c r="S4" s="97" t="s">
        <v>1272</v>
      </c>
      <c r="T4" s="96" t="s">
        <v>1231</v>
      </c>
      <c r="U4" s="3">
        <v>0.25</v>
      </c>
      <c r="V4" s="97" t="s">
        <v>1279</v>
      </c>
      <c r="W4" s="96" t="s">
        <v>1280</v>
      </c>
      <c r="X4" s="55">
        <v>0.1</v>
      </c>
      <c r="Y4" s="96" t="s">
        <v>1281</v>
      </c>
      <c r="Z4" s="96" t="s">
        <v>1271</v>
      </c>
      <c r="AA4" s="3">
        <v>0.1</v>
      </c>
      <c r="AB4" s="97" t="s">
        <v>1282</v>
      </c>
      <c r="AC4" s="96" t="s">
        <v>1283</v>
      </c>
      <c r="AD4" s="3">
        <v>0.1</v>
      </c>
      <c r="AE4" s="15" t="s">
        <v>1284</v>
      </c>
      <c r="AF4" s="9" t="s">
        <v>1285</v>
      </c>
      <c r="AG4" s="3">
        <v>0.1</v>
      </c>
      <c r="AH4" s="83" t="s">
        <v>1286</v>
      </c>
      <c r="AI4" s="81" t="s">
        <v>1287</v>
      </c>
      <c r="AJ4" s="3">
        <v>0.3</v>
      </c>
      <c r="AK4" s="12" t="s">
        <v>1288</v>
      </c>
      <c r="AL4" s="5" t="s">
        <v>1289</v>
      </c>
      <c r="AM4" s="3">
        <v>0.12909999999999999</v>
      </c>
      <c r="AN4" s="1"/>
    </row>
    <row r="5" spans="1:40" x14ac:dyDescent="0.2">
      <c r="A5" s="5" t="s">
        <v>1257</v>
      </c>
      <c r="B5" s="5" t="s">
        <v>1258</v>
      </c>
      <c r="C5" s="3">
        <v>0.2</v>
      </c>
      <c r="D5" s="162" t="s">
        <v>1290</v>
      </c>
      <c r="E5" s="162" t="s">
        <v>1276</v>
      </c>
      <c r="F5" s="159">
        <v>0.2</v>
      </c>
      <c r="G5" s="12" t="s">
        <v>1259</v>
      </c>
      <c r="H5" s="5" t="s">
        <v>1229</v>
      </c>
      <c r="I5" s="3">
        <v>0.25</v>
      </c>
      <c r="J5" s="160" t="s">
        <v>1259</v>
      </c>
      <c r="K5" s="161" t="s">
        <v>1229</v>
      </c>
      <c r="L5" s="3">
        <v>0.25</v>
      </c>
      <c r="M5" s="12" t="s">
        <v>1286</v>
      </c>
      <c r="N5" s="4" t="s">
        <v>1287</v>
      </c>
      <c r="O5" s="3">
        <v>0.25</v>
      </c>
      <c r="P5" s="12" t="s">
        <v>1262</v>
      </c>
      <c r="Q5" s="5" t="s">
        <v>1263</v>
      </c>
      <c r="R5" s="3">
        <v>0.25</v>
      </c>
      <c r="S5" s="12" t="s">
        <v>1262</v>
      </c>
      <c r="T5" s="5" t="s">
        <v>1263</v>
      </c>
      <c r="U5" s="3">
        <v>0.25</v>
      </c>
      <c r="V5" s="12" t="s">
        <v>1268</v>
      </c>
      <c r="W5" s="5" t="s">
        <v>1269</v>
      </c>
      <c r="X5" s="3">
        <v>0.35</v>
      </c>
      <c r="Y5" s="5" t="s">
        <v>1286</v>
      </c>
      <c r="Z5" s="5" t="s">
        <v>1287</v>
      </c>
      <c r="AA5" s="3">
        <v>0.35</v>
      </c>
      <c r="AB5" s="12" t="s">
        <v>1286</v>
      </c>
      <c r="AC5" s="5" t="s">
        <v>1287</v>
      </c>
      <c r="AD5" s="3">
        <v>0.35</v>
      </c>
      <c r="AE5" s="12" t="s">
        <v>1286</v>
      </c>
      <c r="AF5" s="5" t="s">
        <v>1287</v>
      </c>
      <c r="AG5" s="3">
        <v>0.35</v>
      </c>
      <c r="AH5" s="12" t="s">
        <v>1268</v>
      </c>
      <c r="AI5" s="4" t="s">
        <v>1269</v>
      </c>
      <c r="AJ5" s="3">
        <v>0.3</v>
      </c>
      <c r="AK5" s="12" t="s">
        <v>1291</v>
      </c>
      <c r="AL5" s="5" t="s">
        <v>1292</v>
      </c>
      <c r="AM5" s="3">
        <v>0.64559999999999995</v>
      </c>
      <c r="AN5" s="1"/>
    </row>
    <row r="6" spans="1:40" x14ac:dyDescent="0.2">
      <c r="A6" s="5" t="s">
        <v>1290</v>
      </c>
      <c r="B6" s="5" t="s">
        <v>1276</v>
      </c>
      <c r="C6" s="3">
        <v>0.2</v>
      </c>
      <c r="D6" s="12" t="s">
        <v>1293</v>
      </c>
      <c r="E6" s="12" t="s">
        <v>1263</v>
      </c>
      <c r="F6" s="3">
        <v>0.2</v>
      </c>
      <c r="G6" s="12" t="s">
        <v>1294</v>
      </c>
      <c r="H6" s="5" t="s">
        <v>1258</v>
      </c>
      <c r="I6" s="3">
        <v>0.25</v>
      </c>
      <c r="J6" s="160" t="s">
        <v>1286</v>
      </c>
      <c r="K6" s="161" t="s">
        <v>1287</v>
      </c>
      <c r="L6" s="3">
        <v>0.25</v>
      </c>
      <c r="M6" s="12" t="s">
        <v>1268</v>
      </c>
      <c r="N6" s="4" t="s">
        <v>1269</v>
      </c>
      <c r="O6" s="3">
        <v>0.25</v>
      </c>
      <c r="P6" s="12" t="s">
        <v>1281</v>
      </c>
      <c r="Q6" s="5" t="s">
        <v>1271</v>
      </c>
      <c r="R6" s="3">
        <v>0.25</v>
      </c>
      <c r="S6" s="12" t="s">
        <v>1281</v>
      </c>
      <c r="T6" s="5" t="s">
        <v>1271</v>
      </c>
      <c r="U6" s="3">
        <v>0.25</v>
      </c>
      <c r="V6" s="12" t="s">
        <v>1282</v>
      </c>
      <c r="W6" s="5" t="s">
        <v>1283</v>
      </c>
      <c r="X6" s="3">
        <v>0.35</v>
      </c>
      <c r="Y6" s="5" t="s">
        <v>1282</v>
      </c>
      <c r="Z6" s="5" t="s">
        <v>1283</v>
      </c>
      <c r="AA6" s="3">
        <v>0.35</v>
      </c>
      <c r="AB6" s="12" t="s">
        <v>1268</v>
      </c>
      <c r="AC6" s="5" t="s">
        <v>1269</v>
      </c>
      <c r="AD6" s="3">
        <v>0.35</v>
      </c>
      <c r="AE6" s="12" t="s">
        <v>1268</v>
      </c>
      <c r="AF6" s="5" t="s">
        <v>1269</v>
      </c>
      <c r="AG6" s="3">
        <v>0.35</v>
      </c>
      <c r="AH6" s="12" t="s">
        <v>1291</v>
      </c>
      <c r="AI6" s="5" t="s">
        <v>1292</v>
      </c>
      <c r="AJ6" s="3">
        <v>0.2</v>
      </c>
      <c r="AK6" s="1"/>
      <c r="AL6" s="1"/>
      <c r="AM6" s="1"/>
      <c r="AN6" s="1"/>
    </row>
    <row r="7" spans="1:40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9" spans="1:40" x14ac:dyDescent="0.2">
      <c r="AG9" s="154"/>
    </row>
    <row r="10" spans="1:40" x14ac:dyDescent="0.2">
      <c r="AF10" s="154"/>
      <c r="AG10" s="154"/>
      <c r="AH10" s="154"/>
    </row>
    <row r="11" spans="1:40" x14ac:dyDescent="0.2">
      <c r="AF11" s="154"/>
      <c r="AG11" s="154"/>
      <c r="AH11" s="154"/>
    </row>
    <row r="12" spans="1:40" x14ac:dyDescent="0.2">
      <c r="AG12" s="154"/>
    </row>
    <row r="13" spans="1:40" x14ac:dyDescent="0.2">
      <c r="AG13" s="163"/>
    </row>
    <row r="14" spans="1:40" x14ac:dyDescent="0.2">
      <c r="AG14" s="154"/>
    </row>
  </sheetData>
  <mergeCells count="13">
    <mergeCell ref="A1:B1"/>
    <mergeCell ref="AH1:AI1"/>
    <mergeCell ref="AK1:AL1"/>
    <mergeCell ref="AE1:AF1"/>
    <mergeCell ref="Y1:Z1"/>
    <mergeCell ref="S1:T1"/>
    <mergeCell ref="D1:E1"/>
    <mergeCell ref="J1:K1"/>
    <mergeCell ref="P1:Q1"/>
    <mergeCell ref="V1:W1"/>
    <mergeCell ref="AB1:AC1"/>
    <mergeCell ref="M1:N1"/>
    <mergeCell ref="G1:H1"/>
  </mergeCells>
  <phoneticPr fontId="6" type="noConversion"/>
  <pageMargins left="0.7" right="0.7" top="0.75" bottom="0.75" header="0.3" footer="0.3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S200"/>
  <sheetViews>
    <sheetView workbookViewId="0">
      <pane ySplit="1" topLeftCell="A2" activePane="bottomLeft" state="frozen"/>
      <selection pane="bottomLeft" sqref="A1:B1"/>
    </sheetView>
  </sheetViews>
  <sheetFormatPr defaultColWidth="14" defaultRowHeight="12.75" x14ac:dyDescent="0.2"/>
  <cols>
    <col min="1" max="40" width="17" customWidth="1"/>
    <col min="41" max="42" width="16" customWidth="1"/>
    <col min="43" max="43" width="20" customWidth="1"/>
    <col min="44" max="61" width="16" customWidth="1"/>
  </cols>
  <sheetData>
    <row r="1" spans="1:71" x14ac:dyDescent="0.2">
      <c r="A1" s="207">
        <v>46098</v>
      </c>
      <c r="B1" s="207"/>
      <c r="C1" s="146" t="s">
        <v>0</v>
      </c>
      <c r="D1" s="207">
        <v>46063</v>
      </c>
      <c r="E1" s="207"/>
      <c r="F1" s="146" t="s">
        <v>0</v>
      </c>
      <c r="G1" s="207">
        <v>46037</v>
      </c>
      <c r="H1" s="207"/>
      <c r="I1" s="146" t="s">
        <v>0</v>
      </c>
      <c r="J1" s="207">
        <v>46000</v>
      </c>
      <c r="K1" s="207"/>
      <c r="L1" s="146" t="s">
        <v>0</v>
      </c>
      <c r="M1" s="207">
        <v>45960</v>
      </c>
      <c r="N1" s="207"/>
      <c r="O1" s="146" t="s">
        <v>0</v>
      </c>
      <c r="P1" s="207">
        <v>45930</v>
      </c>
      <c r="Q1" s="207"/>
      <c r="R1" s="146" t="s">
        <v>0</v>
      </c>
      <c r="S1" s="207">
        <v>45895</v>
      </c>
      <c r="T1" s="207"/>
      <c r="U1" s="146" t="s">
        <v>0</v>
      </c>
      <c r="V1" s="207">
        <v>45853</v>
      </c>
      <c r="W1" s="207"/>
      <c r="X1" s="146" t="s">
        <v>0</v>
      </c>
      <c r="Y1" s="207">
        <v>45818</v>
      </c>
      <c r="Z1" s="207"/>
      <c r="AA1" s="146" t="s">
        <v>0</v>
      </c>
      <c r="AB1" s="207">
        <v>45776</v>
      </c>
      <c r="AC1" s="207"/>
      <c r="AD1" s="146" t="s">
        <v>0</v>
      </c>
      <c r="AE1" s="207">
        <v>45741</v>
      </c>
      <c r="AF1" s="207"/>
      <c r="AG1" s="146" t="s">
        <v>0</v>
      </c>
      <c r="AH1" s="207">
        <v>45708</v>
      </c>
      <c r="AI1" s="207"/>
      <c r="AJ1" s="146" t="s">
        <v>0</v>
      </c>
      <c r="AK1" s="207">
        <v>45680</v>
      </c>
      <c r="AL1" s="207"/>
      <c r="AM1" s="146" t="s">
        <v>0</v>
      </c>
      <c r="AN1" s="145">
        <v>45650</v>
      </c>
      <c r="AO1" s="146" t="s">
        <v>0</v>
      </c>
      <c r="AP1" s="207">
        <v>45601</v>
      </c>
      <c r="AQ1" s="207"/>
      <c r="AR1" s="146" t="s">
        <v>0</v>
      </c>
      <c r="AS1" s="207">
        <v>45565</v>
      </c>
      <c r="AT1" s="212"/>
      <c r="AU1" s="146" t="s">
        <v>0</v>
      </c>
      <c r="AV1" s="211">
        <v>45531</v>
      </c>
      <c r="AW1" s="211"/>
      <c r="AX1" s="149" t="s">
        <v>0</v>
      </c>
      <c r="AY1" s="211">
        <v>45496</v>
      </c>
      <c r="AZ1" s="211"/>
      <c r="BA1" s="149" t="s">
        <v>0</v>
      </c>
      <c r="BB1" s="195">
        <v>45461</v>
      </c>
      <c r="BC1" s="195"/>
      <c r="BD1" s="42" t="s">
        <v>0</v>
      </c>
      <c r="BE1" s="213">
        <v>45419</v>
      </c>
      <c r="BF1" s="213"/>
      <c r="BG1" s="150" t="s">
        <v>0</v>
      </c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</row>
    <row r="2" spans="1:71" x14ac:dyDescent="0.2">
      <c r="A2" s="5" t="s">
        <v>1295</v>
      </c>
      <c r="B2" s="5" t="s">
        <v>1296</v>
      </c>
      <c r="C2" s="3">
        <v>0.1</v>
      </c>
      <c r="D2" s="83" t="s">
        <v>1295</v>
      </c>
      <c r="E2" s="82" t="s">
        <v>1296</v>
      </c>
      <c r="F2" s="3">
        <v>0.1</v>
      </c>
      <c r="G2" s="12" t="s">
        <v>1297</v>
      </c>
      <c r="H2" s="5" t="s">
        <v>1298</v>
      </c>
      <c r="I2" s="3">
        <v>0.1</v>
      </c>
      <c r="J2" s="83" t="s">
        <v>1297</v>
      </c>
      <c r="K2" s="82" t="s">
        <v>1298</v>
      </c>
      <c r="L2" s="3">
        <v>0.1</v>
      </c>
      <c r="M2" s="31" t="s">
        <v>1299</v>
      </c>
      <c r="N2" s="33" t="s">
        <v>1300</v>
      </c>
      <c r="O2" s="3">
        <v>0.1</v>
      </c>
      <c r="P2" s="82" t="s">
        <v>1299</v>
      </c>
      <c r="Q2" s="82" t="s">
        <v>1300</v>
      </c>
      <c r="R2" s="3">
        <v>0.1</v>
      </c>
      <c r="S2" s="12" t="s">
        <v>1301</v>
      </c>
      <c r="T2" s="5" t="s">
        <v>1302</v>
      </c>
      <c r="U2" s="3">
        <v>0.1</v>
      </c>
      <c r="V2" s="28" t="s">
        <v>1301</v>
      </c>
      <c r="W2" s="28" t="s">
        <v>1302</v>
      </c>
      <c r="X2" s="3">
        <v>0.1</v>
      </c>
      <c r="Y2" s="13" t="s">
        <v>1303</v>
      </c>
      <c r="Z2" s="11" t="s">
        <v>1304</v>
      </c>
      <c r="AA2" s="3">
        <v>0.1</v>
      </c>
      <c r="AB2" s="11" t="s">
        <v>1303</v>
      </c>
      <c r="AC2" s="11" t="s">
        <v>1304</v>
      </c>
      <c r="AD2" s="3">
        <v>0.1</v>
      </c>
      <c r="AE2" s="97" t="s">
        <v>1303</v>
      </c>
      <c r="AF2" s="96" t="s">
        <v>1304</v>
      </c>
      <c r="AG2" s="3">
        <v>0.1</v>
      </c>
      <c r="AH2" s="13" t="s">
        <v>1305</v>
      </c>
      <c r="AI2" s="11" t="s">
        <v>1306</v>
      </c>
      <c r="AJ2" s="3">
        <v>9.6199999999999994E-2</v>
      </c>
      <c r="AK2" s="13" t="s">
        <v>1305</v>
      </c>
      <c r="AL2" s="11" t="s">
        <v>1306</v>
      </c>
      <c r="AM2" s="3">
        <v>9.6199999999999994E-2</v>
      </c>
      <c r="AN2" s="4" t="s">
        <v>1306</v>
      </c>
      <c r="AO2" s="3">
        <v>9.6199999999999994E-2</v>
      </c>
      <c r="AP2" s="166" t="s">
        <v>1305</v>
      </c>
      <c r="AQ2" s="47" t="s">
        <v>1306</v>
      </c>
      <c r="AR2" s="3">
        <v>9.6199999999999994E-2</v>
      </c>
      <c r="AS2" s="19" t="s">
        <v>1307</v>
      </c>
      <c r="AT2" s="18" t="s">
        <v>1308</v>
      </c>
      <c r="AU2" s="165">
        <v>0.12330000000000001</v>
      </c>
      <c r="AV2" s="13" t="s">
        <v>1309</v>
      </c>
      <c r="AW2" s="11" t="s">
        <v>1310</v>
      </c>
      <c r="AX2" s="141">
        <v>0.17649999999999999</v>
      </c>
      <c r="AY2" s="11" t="s">
        <v>1309</v>
      </c>
      <c r="AZ2" s="11" t="s">
        <v>1310</v>
      </c>
      <c r="BA2" s="141">
        <v>0.17649999999999999</v>
      </c>
      <c r="BB2" s="11" t="s">
        <v>1309</v>
      </c>
      <c r="BC2" s="11" t="s">
        <v>1310</v>
      </c>
      <c r="BD2" s="128">
        <v>0.17649999999999999</v>
      </c>
      <c r="BE2" s="137" t="s">
        <v>1309</v>
      </c>
      <c r="BF2" s="167" t="s">
        <v>1311</v>
      </c>
      <c r="BG2" s="139">
        <v>0.10979999999999999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</row>
    <row r="3" spans="1:71" x14ac:dyDescent="0.2">
      <c r="A3" s="5" t="s">
        <v>1312</v>
      </c>
      <c r="B3" s="5" t="s">
        <v>1313</v>
      </c>
      <c r="C3" s="3">
        <v>0.15</v>
      </c>
      <c r="D3" s="97" t="s">
        <v>1312</v>
      </c>
      <c r="E3" s="96" t="s">
        <v>1313</v>
      </c>
      <c r="F3" s="3">
        <v>0.15</v>
      </c>
      <c r="G3" s="13" t="s">
        <v>1314</v>
      </c>
      <c r="H3" s="11" t="s">
        <v>1315</v>
      </c>
      <c r="I3" s="3">
        <v>0.15</v>
      </c>
      <c r="J3" s="97" t="s">
        <v>1314</v>
      </c>
      <c r="K3" s="96" t="s">
        <v>1315</v>
      </c>
      <c r="L3" s="46">
        <v>0.15</v>
      </c>
      <c r="M3" s="31" t="s">
        <v>1316</v>
      </c>
      <c r="N3" s="33" t="s">
        <v>1317</v>
      </c>
      <c r="O3" s="3">
        <v>0.15</v>
      </c>
      <c r="P3" s="96" t="s">
        <v>1316</v>
      </c>
      <c r="Q3" s="96" t="s">
        <v>1317</v>
      </c>
      <c r="R3" s="3">
        <v>0.15</v>
      </c>
      <c r="S3" s="12" t="s">
        <v>1318</v>
      </c>
      <c r="T3" s="5" t="s">
        <v>1319</v>
      </c>
      <c r="U3" s="3">
        <v>0.15</v>
      </c>
      <c r="V3" s="28" t="s">
        <v>1318</v>
      </c>
      <c r="W3" s="28" t="s">
        <v>1319</v>
      </c>
      <c r="X3" s="3">
        <v>0.15</v>
      </c>
      <c r="Y3" s="12" t="s">
        <v>1320</v>
      </c>
      <c r="Z3" s="5" t="s">
        <v>1321</v>
      </c>
      <c r="AA3" s="3">
        <v>0.15</v>
      </c>
      <c r="AB3" s="5" t="s">
        <v>1320</v>
      </c>
      <c r="AC3" s="5" t="s">
        <v>1321</v>
      </c>
      <c r="AD3" s="3">
        <v>0.15</v>
      </c>
      <c r="AE3" s="83" t="s">
        <v>1320</v>
      </c>
      <c r="AF3" s="82" t="s">
        <v>1321</v>
      </c>
      <c r="AG3" s="3">
        <v>0.15</v>
      </c>
      <c r="AH3" s="13" t="s">
        <v>1322</v>
      </c>
      <c r="AI3" s="11" t="s">
        <v>1323</v>
      </c>
      <c r="AJ3" s="3">
        <v>0.18149999999999999</v>
      </c>
      <c r="AK3" s="13" t="s">
        <v>1322</v>
      </c>
      <c r="AL3" s="11" t="s">
        <v>1323</v>
      </c>
      <c r="AM3" s="3">
        <v>0.18149999999999999</v>
      </c>
      <c r="AN3" s="168" t="s">
        <v>1323</v>
      </c>
      <c r="AO3" s="3">
        <v>0.18149999999999999</v>
      </c>
      <c r="AP3" s="166" t="s">
        <v>1322</v>
      </c>
      <c r="AQ3" s="47" t="s">
        <v>1323</v>
      </c>
      <c r="AR3" s="3">
        <v>0.18149999999999999</v>
      </c>
      <c r="AS3" s="19" t="s">
        <v>1324</v>
      </c>
      <c r="AT3" s="18" t="s">
        <v>1325</v>
      </c>
      <c r="AU3" s="3">
        <v>0.17119999999999999</v>
      </c>
      <c r="AV3" s="13" t="s">
        <v>1326</v>
      </c>
      <c r="AW3" s="11" t="s">
        <v>1327</v>
      </c>
      <c r="AX3" s="141">
        <v>0.17649999999999999</v>
      </c>
      <c r="AY3" s="11" t="s">
        <v>1326</v>
      </c>
      <c r="AZ3" s="11" t="s">
        <v>1327</v>
      </c>
      <c r="BA3" s="141">
        <v>0.17649999999999999</v>
      </c>
      <c r="BB3" s="11" t="s">
        <v>1326</v>
      </c>
      <c r="BC3" s="11" t="s">
        <v>1327</v>
      </c>
      <c r="BD3" s="128">
        <v>0.17649999999999999</v>
      </c>
      <c r="BE3" s="137" t="s">
        <v>1326</v>
      </c>
      <c r="BF3" s="167" t="s">
        <v>1328</v>
      </c>
      <c r="BG3" s="139">
        <v>0.2195</v>
      </c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</row>
    <row r="4" spans="1:71" x14ac:dyDescent="0.2">
      <c r="A4" s="5" t="s">
        <v>1329</v>
      </c>
      <c r="B4" s="5" t="s">
        <v>1330</v>
      </c>
      <c r="C4" s="3">
        <v>0.15</v>
      </c>
      <c r="D4" s="97" t="s">
        <v>1329</v>
      </c>
      <c r="E4" s="96" t="s">
        <v>1330</v>
      </c>
      <c r="F4" s="3">
        <v>0.15</v>
      </c>
      <c r="G4" s="13" t="s">
        <v>1331</v>
      </c>
      <c r="H4" s="11" t="s">
        <v>1332</v>
      </c>
      <c r="I4" s="3">
        <v>0.15</v>
      </c>
      <c r="J4" s="97" t="s">
        <v>1331</v>
      </c>
      <c r="K4" s="96" t="s">
        <v>1332</v>
      </c>
      <c r="L4" s="46">
        <v>0.15</v>
      </c>
      <c r="M4" s="31" t="s">
        <v>1333</v>
      </c>
      <c r="N4" s="33" t="s">
        <v>1334</v>
      </c>
      <c r="O4" s="3">
        <v>0.15</v>
      </c>
      <c r="P4" s="96" t="s">
        <v>1333</v>
      </c>
      <c r="Q4" s="96" t="s">
        <v>1334</v>
      </c>
      <c r="R4" s="3">
        <v>0.15</v>
      </c>
      <c r="S4" s="12" t="s">
        <v>1335</v>
      </c>
      <c r="T4" s="5" t="s">
        <v>1336</v>
      </c>
      <c r="U4" s="3">
        <v>0.15</v>
      </c>
      <c r="V4" s="28" t="s">
        <v>1335</v>
      </c>
      <c r="W4" s="28" t="s">
        <v>1336</v>
      </c>
      <c r="X4" s="3">
        <v>0.15</v>
      </c>
      <c r="Y4" s="12" t="s">
        <v>1337</v>
      </c>
      <c r="Z4" s="5" t="s">
        <v>1338</v>
      </c>
      <c r="AA4" s="3">
        <v>0.15</v>
      </c>
      <c r="AB4" s="5" t="s">
        <v>1337</v>
      </c>
      <c r="AC4" s="5" t="s">
        <v>1338</v>
      </c>
      <c r="AD4" s="3">
        <v>0.15</v>
      </c>
      <c r="AE4" s="83" t="s">
        <v>1337</v>
      </c>
      <c r="AF4" s="82" t="s">
        <v>1338</v>
      </c>
      <c r="AG4" s="3">
        <v>0.15</v>
      </c>
      <c r="AH4" s="13" t="s">
        <v>1339</v>
      </c>
      <c r="AI4" s="11" t="s">
        <v>1340</v>
      </c>
      <c r="AJ4" s="3">
        <v>0.18149999999999999</v>
      </c>
      <c r="AK4" s="13" t="s">
        <v>1339</v>
      </c>
      <c r="AL4" s="11" t="s">
        <v>1340</v>
      </c>
      <c r="AM4" s="3">
        <v>0.18149999999999999</v>
      </c>
      <c r="AN4" s="168" t="s">
        <v>1340</v>
      </c>
      <c r="AO4" s="3">
        <v>0.18149999999999999</v>
      </c>
      <c r="AP4" s="166" t="s">
        <v>1339</v>
      </c>
      <c r="AQ4" s="47" t="s">
        <v>1340</v>
      </c>
      <c r="AR4" s="3">
        <v>0.18149999999999999</v>
      </c>
      <c r="AS4" s="19" t="s">
        <v>1341</v>
      </c>
      <c r="AT4" s="18" t="s">
        <v>1342</v>
      </c>
      <c r="AU4" s="3">
        <v>0.20549999999999999</v>
      </c>
      <c r="AV4" s="13" t="s">
        <v>1343</v>
      </c>
      <c r="AW4" s="11" t="s">
        <v>1344</v>
      </c>
      <c r="AX4" s="141">
        <v>0.35289999999999999</v>
      </c>
      <c r="AY4" s="11" t="s">
        <v>1343</v>
      </c>
      <c r="AZ4" s="11" t="s">
        <v>1344</v>
      </c>
      <c r="BA4" s="141">
        <v>0.35289999999999999</v>
      </c>
      <c r="BB4" s="11" t="s">
        <v>1343</v>
      </c>
      <c r="BC4" s="11" t="s">
        <v>1344</v>
      </c>
      <c r="BD4" s="128">
        <v>0.35289999999999999</v>
      </c>
      <c r="BE4" s="11" t="s">
        <v>1345</v>
      </c>
      <c r="BF4" s="23" t="s">
        <v>1344</v>
      </c>
      <c r="BG4" s="139">
        <v>0.3659</v>
      </c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</row>
    <row r="5" spans="1:71" ht="25.5" x14ac:dyDescent="0.2">
      <c r="A5" s="5" t="s">
        <v>1346</v>
      </c>
      <c r="B5" s="5" t="s">
        <v>1347</v>
      </c>
      <c r="C5" s="3">
        <v>0.1</v>
      </c>
      <c r="D5" s="97" t="s">
        <v>1346</v>
      </c>
      <c r="E5" s="96" t="s">
        <v>1347</v>
      </c>
      <c r="F5" s="3">
        <v>0.1</v>
      </c>
      <c r="G5" s="13" t="s">
        <v>1348</v>
      </c>
      <c r="H5" s="11" t="s">
        <v>1349</v>
      </c>
      <c r="I5" s="3">
        <v>0.1</v>
      </c>
      <c r="J5" s="97" t="s">
        <v>1348</v>
      </c>
      <c r="K5" s="96" t="s">
        <v>1349</v>
      </c>
      <c r="L5" s="46">
        <v>0.1</v>
      </c>
      <c r="M5" s="31" t="s">
        <v>1350</v>
      </c>
      <c r="N5" s="33" t="s">
        <v>1351</v>
      </c>
      <c r="O5" s="3">
        <v>0.1</v>
      </c>
      <c r="P5" s="96" t="s">
        <v>1350</v>
      </c>
      <c r="Q5" s="96" t="s">
        <v>1351</v>
      </c>
      <c r="R5" s="3">
        <v>0.1</v>
      </c>
      <c r="S5" s="12" t="s">
        <v>1352</v>
      </c>
      <c r="T5" s="5" t="s">
        <v>1353</v>
      </c>
      <c r="U5" s="3">
        <v>0.1</v>
      </c>
      <c r="V5" s="18" t="s">
        <v>1352</v>
      </c>
      <c r="W5" s="18" t="s">
        <v>1353</v>
      </c>
      <c r="X5" s="3">
        <v>0.1</v>
      </c>
      <c r="Y5" s="12" t="s">
        <v>1354</v>
      </c>
      <c r="Z5" s="5" t="s">
        <v>1355</v>
      </c>
      <c r="AA5" s="3">
        <v>0.1</v>
      </c>
      <c r="AB5" s="5" t="s">
        <v>1354</v>
      </c>
      <c r="AC5" s="5" t="s">
        <v>1355</v>
      </c>
      <c r="AD5" s="3">
        <v>0.1</v>
      </c>
      <c r="AE5" s="83" t="s">
        <v>1354</v>
      </c>
      <c r="AF5" s="82" t="s">
        <v>1355</v>
      </c>
      <c r="AG5" s="3">
        <v>0.1</v>
      </c>
      <c r="AH5" s="13" t="s">
        <v>1356</v>
      </c>
      <c r="AI5" s="11" t="s">
        <v>1357</v>
      </c>
      <c r="AJ5" s="3">
        <v>8.1699999999999995E-2</v>
      </c>
      <c r="AK5" s="13" t="s">
        <v>1356</v>
      </c>
      <c r="AL5" s="11" t="s">
        <v>1357</v>
      </c>
      <c r="AM5" s="3">
        <v>8.1699999999999995E-2</v>
      </c>
      <c r="AN5" s="168" t="s">
        <v>1357</v>
      </c>
      <c r="AO5" s="3">
        <v>8.1699999999999995E-2</v>
      </c>
      <c r="AP5" s="166" t="s">
        <v>1356</v>
      </c>
      <c r="AQ5" s="47" t="s">
        <v>1357</v>
      </c>
      <c r="AR5" s="3">
        <v>8.1699999999999995E-2</v>
      </c>
      <c r="AS5" s="13" t="s">
        <v>1326</v>
      </c>
      <c r="AT5" s="11" t="s">
        <v>1327</v>
      </c>
      <c r="AU5" s="3">
        <v>0.12330000000000001</v>
      </c>
      <c r="AV5" s="13" t="s">
        <v>1358</v>
      </c>
      <c r="AW5" s="11" t="s">
        <v>1359</v>
      </c>
      <c r="AX5" s="141">
        <v>0.29409999999999997</v>
      </c>
      <c r="AY5" s="11" t="s">
        <v>1358</v>
      </c>
      <c r="AZ5" s="11" t="s">
        <v>1359</v>
      </c>
      <c r="BA5" s="141">
        <v>0.29409999999999997</v>
      </c>
      <c r="BB5" s="11" t="s">
        <v>1358</v>
      </c>
      <c r="BC5" s="11" t="s">
        <v>1359</v>
      </c>
      <c r="BD5" s="128">
        <v>0.29409999999999997</v>
      </c>
      <c r="BE5" s="11" t="s">
        <v>1360</v>
      </c>
      <c r="BF5" s="23" t="s">
        <v>1359</v>
      </c>
      <c r="BG5" s="139">
        <v>0.3049</v>
      </c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</row>
    <row r="6" spans="1:71" x14ac:dyDescent="0.2">
      <c r="A6" s="5" t="s">
        <v>1297</v>
      </c>
      <c r="B6" s="5" t="s">
        <v>1298</v>
      </c>
      <c r="C6" s="3">
        <v>0.1</v>
      </c>
      <c r="D6" s="26" t="s">
        <v>1297</v>
      </c>
      <c r="E6" s="5" t="s">
        <v>1298</v>
      </c>
      <c r="F6" s="3">
        <v>0.1</v>
      </c>
      <c r="G6" s="31" t="s">
        <v>1299</v>
      </c>
      <c r="H6" s="33" t="s">
        <v>1300</v>
      </c>
      <c r="I6" s="3">
        <v>0.1</v>
      </c>
      <c r="J6" s="31" t="s">
        <v>1299</v>
      </c>
      <c r="K6" s="33" t="s">
        <v>1300</v>
      </c>
      <c r="L6" s="32">
        <v>0.1</v>
      </c>
      <c r="M6" s="31" t="s">
        <v>1301</v>
      </c>
      <c r="N6" s="33" t="s">
        <v>1302</v>
      </c>
      <c r="O6" s="3">
        <v>0.1</v>
      </c>
      <c r="P6" s="33" t="s">
        <v>1301</v>
      </c>
      <c r="Q6" s="33" t="s">
        <v>1302</v>
      </c>
      <c r="R6" s="3">
        <v>0.1</v>
      </c>
      <c r="S6" s="13" t="s">
        <v>1303</v>
      </c>
      <c r="T6" s="11" t="s">
        <v>1304</v>
      </c>
      <c r="U6" s="3">
        <v>0.1</v>
      </c>
      <c r="V6" s="11" t="s">
        <v>1303</v>
      </c>
      <c r="W6" s="11" t="s">
        <v>1304</v>
      </c>
      <c r="X6" s="3">
        <v>0.1</v>
      </c>
      <c r="Y6" s="13" t="s">
        <v>1305</v>
      </c>
      <c r="Z6" s="11" t="s">
        <v>1306</v>
      </c>
      <c r="AA6" s="3">
        <v>0.1</v>
      </c>
      <c r="AB6" s="11" t="s">
        <v>1305</v>
      </c>
      <c r="AC6" s="11" t="s">
        <v>1306</v>
      </c>
      <c r="AD6" s="3">
        <v>0.1</v>
      </c>
      <c r="AE6" s="13" t="s">
        <v>1305</v>
      </c>
      <c r="AF6" s="11" t="s">
        <v>1306</v>
      </c>
      <c r="AG6" s="3">
        <v>0.1</v>
      </c>
      <c r="AH6" s="13" t="s">
        <v>1307</v>
      </c>
      <c r="AI6" s="11" t="s">
        <v>1308</v>
      </c>
      <c r="AJ6" s="3">
        <v>9.6199999999999994E-2</v>
      </c>
      <c r="AK6" s="13" t="s">
        <v>1307</v>
      </c>
      <c r="AL6" s="11" t="s">
        <v>1308</v>
      </c>
      <c r="AM6" s="3">
        <v>9.6199999999999994E-2</v>
      </c>
      <c r="AN6" s="168" t="s">
        <v>1308</v>
      </c>
      <c r="AO6" s="3">
        <v>9.6199999999999994E-2</v>
      </c>
      <c r="AP6" s="13" t="s">
        <v>1307</v>
      </c>
      <c r="AQ6" s="11" t="s">
        <v>1308</v>
      </c>
      <c r="AR6" s="3">
        <v>9.6199999999999994E-2</v>
      </c>
      <c r="AS6" s="13" t="s">
        <v>1343</v>
      </c>
      <c r="AT6" s="11" t="s">
        <v>1361</v>
      </c>
      <c r="AU6" s="3">
        <v>0.20549999999999999</v>
      </c>
      <c r="AV6" s="105" t="s">
        <v>1362</v>
      </c>
      <c r="AW6" s="104" t="s">
        <v>1363</v>
      </c>
      <c r="AX6" s="91">
        <v>0.35289999999999999</v>
      </c>
      <c r="AY6" s="104" t="s">
        <v>1362</v>
      </c>
      <c r="AZ6" s="104" t="s">
        <v>1363</v>
      </c>
      <c r="BA6" s="91">
        <v>0.35289999999999999</v>
      </c>
      <c r="BB6" s="2" t="s">
        <v>1362</v>
      </c>
      <c r="BC6" s="2" t="s">
        <v>1363</v>
      </c>
      <c r="BD6" s="124">
        <v>0.35289999999999999</v>
      </c>
      <c r="BE6" s="61" t="s">
        <v>1362</v>
      </c>
      <c r="BF6" s="63" t="s">
        <v>1363</v>
      </c>
      <c r="BG6" s="85">
        <v>0.32929999999999998</v>
      </c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</row>
    <row r="7" spans="1:71" x14ac:dyDescent="0.2">
      <c r="A7" s="11" t="s">
        <v>1314</v>
      </c>
      <c r="B7" s="11" t="s">
        <v>1315</v>
      </c>
      <c r="C7" s="3">
        <v>0.15</v>
      </c>
      <c r="D7" s="20" t="s">
        <v>1314</v>
      </c>
      <c r="E7" s="11" t="s">
        <v>1315</v>
      </c>
      <c r="F7" s="46">
        <v>0.15</v>
      </c>
      <c r="G7" s="31" t="s">
        <v>1316</v>
      </c>
      <c r="H7" s="33" t="s">
        <v>1317</v>
      </c>
      <c r="I7" s="3">
        <v>0.15</v>
      </c>
      <c r="J7" s="31" t="s">
        <v>1316</v>
      </c>
      <c r="K7" s="33" t="s">
        <v>1317</v>
      </c>
      <c r="L7" s="32">
        <v>0.15</v>
      </c>
      <c r="M7" s="31" t="s">
        <v>1318</v>
      </c>
      <c r="N7" s="33" t="s">
        <v>1319</v>
      </c>
      <c r="O7" s="3">
        <v>0.15</v>
      </c>
      <c r="P7" s="33" t="s">
        <v>1318</v>
      </c>
      <c r="Q7" s="33" t="s">
        <v>1319</v>
      </c>
      <c r="R7" s="3">
        <v>0.15</v>
      </c>
      <c r="S7" s="12" t="s">
        <v>1320</v>
      </c>
      <c r="T7" s="5" t="s">
        <v>1321</v>
      </c>
      <c r="U7" s="3">
        <v>0.15</v>
      </c>
      <c r="V7" s="5" t="s">
        <v>1320</v>
      </c>
      <c r="W7" s="5" t="s">
        <v>1321</v>
      </c>
      <c r="X7" s="3">
        <v>0.15</v>
      </c>
      <c r="Y7" s="13" t="s">
        <v>1322</v>
      </c>
      <c r="Z7" s="11" t="s">
        <v>1323</v>
      </c>
      <c r="AA7" s="3">
        <v>0.15</v>
      </c>
      <c r="AB7" s="11" t="s">
        <v>1322</v>
      </c>
      <c r="AC7" s="11" t="s">
        <v>1323</v>
      </c>
      <c r="AD7" s="3">
        <v>0.15</v>
      </c>
      <c r="AE7" s="13" t="s">
        <v>1322</v>
      </c>
      <c r="AF7" s="11" t="s">
        <v>1323</v>
      </c>
      <c r="AG7" s="3">
        <v>0.15</v>
      </c>
      <c r="AH7" s="13" t="s">
        <v>1324</v>
      </c>
      <c r="AI7" s="11" t="s">
        <v>1325</v>
      </c>
      <c r="AJ7" s="3">
        <v>0.18149999999999999</v>
      </c>
      <c r="AK7" s="13" t="s">
        <v>1324</v>
      </c>
      <c r="AL7" s="11" t="s">
        <v>1325</v>
      </c>
      <c r="AM7" s="3">
        <v>0.18149999999999999</v>
      </c>
      <c r="AN7" s="168" t="s">
        <v>1325</v>
      </c>
      <c r="AO7" s="3">
        <v>0.18149999999999999</v>
      </c>
      <c r="AP7" s="13" t="s">
        <v>1324</v>
      </c>
      <c r="AQ7" s="11" t="s">
        <v>1325</v>
      </c>
      <c r="AR7" s="3">
        <v>0.18149999999999999</v>
      </c>
      <c r="AS7" s="13" t="s">
        <v>1358</v>
      </c>
      <c r="AT7" s="11" t="s">
        <v>1364</v>
      </c>
      <c r="AU7" s="3">
        <v>0.17119999999999999</v>
      </c>
      <c r="AV7" s="105" t="s">
        <v>1365</v>
      </c>
      <c r="AW7" s="104" t="s">
        <v>1366</v>
      </c>
      <c r="AX7" s="91">
        <v>0.64710000000000001</v>
      </c>
      <c r="AY7" s="104" t="s">
        <v>1365</v>
      </c>
      <c r="AZ7" s="104" t="s">
        <v>1366</v>
      </c>
      <c r="BA7" s="91">
        <v>0.64710000000000001</v>
      </c>
      <c r="BB7" s="2" t="s">
        <v>1365</v>
      </c>
      <c r="BC7" s="2" t="s">
        <v>1366</v>
      </c>
      <c r="BD7" s="124">
        <v>0.64710000000000001</v>
      </c>
      <c r="BE7" s="61" t="s">
        <v>1365</v>
      </c>
      <c r="BF7" s="63" t="s">
        <v>1366</v>
      </c>
      <c r="BG7" s="85">
        <v>0.67069999999999996</v>
      </c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</row>
    <row r="8" spans="1:71" x14ac:dyDescent="0.2">
      <c r="A8" s="11" t="s">
        <v>1331</v>
      </c>
      <c r="B8" s="11" t="s">
        <v>1332</v>
      </c>
      <c r="C8" s="3">
        <v>0.15</v>
      </c>
      <c r="D8" s="20" t="s">
        <v>1331</v>
      </c>
      <c r="E8" s="11" t="s">
        <v>1332</v>
      </c>
      <c r="F8" s="46">
        <v>0.15</v>
      </c>
      <c r="G8" s="31" t="s">
        <v>1333</v>
      </c>
      <c r="H8" s="33" t="s">
        <v>1334</v>
      </c>
      <c r="I8" s="3">
        <v>0.15</v>
      </c>
      <c r="J8" s="31" t="s">
        <v>1333</v>
      </c>
      <c r="K8" s="33" t="s">
        <v>1334</v>
      </c>
      <c r="L8" s="32">
        <v>0.15</v>
      </c>
      <c r="M8" s="31" t="s">
        <v>1335</v>
      </c>
      <c r="N8" s="33" t="s">
        <v>1336</v>
      </c>
      <c r="O8" s="3">
        <v>0.15</v>
      </c>
      <c r="P8" s="33" t="s">
        <v>1335</v>
      </c>
      <c r="Q8" s="33" t="s">
        <v>1336</v>
      </c>
      <c r="R8" s="3">
        <v>0.15</v>
      </c>
      <c r="S8" s="12" t="s">
        <v>1337</v>
      </c>
      <c r="T8" s="5" t="s">
        <v>1367</v>
      </c>
      <c r="U8" s="3">
        <v>0.15</v>
      </c>
      <c r="V8" s="5" t="s">
        <v>1337</v>
      </c>
      <c r="W8" s="5" t="s">
        <v>1367</v>
      </c>
      <c r="X8" s="3">
        <v>0.15</v>
      </c>
      <c r="Y8" s="13" t="s">
        <v>1339</v>
      </c>
      <c r="Z8" s="11" t="s">
        <v>1340</v>
      </c>
      <c r="AA8" s="3">
        <v>0.15</v>
      </c>
      <c r="AB8" s="11" t="s">
        <v>1339</v>
      </c>
      <c r="AC8" s="11" t="s">
        <v>1340</v>
      </c>
      <c r="AD8" s="3">
        <v>0.15</v>
      </c>
      <c r="AE8" s="13" t="s">
        <v>1339</v>
      </c>
      <c r="AF8" s="11" t="s">
        <v>1340</v>
      </c>
      <c r="AG8" s="3">
        <v>0.15</v>
      </c>
      <c r="AH8" s="13" t="s">
        <v>1341</v>
      </c>
      <c r="AI8" s="11" t="s">
        <v>1342</v>
      </c>
      <c r="AJ8" s="3">
        <v>0.18149999999999999</v>
      </c>
      <c r="AK8" s="13" t="s">
        <v>1341</v>
      </c>
      <c r="AL8" s="11" t="s">
        <v>1342</v>
      </c>
      <c r="AM8" s="3">
        <v>0.18149999999999999</v>
      </c>
      <c r="AN8" s="168" t="s">
        <v>1342</v>
      </c>
      <c r="AO8" s="3">
        <v>0.18149999999999999</v>
      </c>
      <c r="AP8" s="13" t="s">
        <v>1341</v>
      </c>
      <c r="AQ8" s="11" t="s">
        <v>1342</v>
      </c>
      <c r="AR8" s="3">
        <v>0.18149999999999999</v>
      </c>
      <c r="AS8" s="105" t="s">
        <v>1362</v>
      </c>
      <c r="AT8" s="104" t="s">
        <v>1363</v>
      </c>
      <c r="AU8" s="70">
        <f>SUM(AU2,AU5)</f>
        <v>0.24660000000000001</v>
      </c>
      <c r="AV8" s="61"/>
      <c r="AW8" s="61" t="s">
        <v>744</v>
      </c>
      <c r="AX8" s="74">
        <f>SUM(AX6:AX7)</f>
        <v>1</v>
      </c>
      <c r="AY8" s="61"/>
      <c r="AZ8" s="61" t="s">
        <v>744</v>
      </c>
      <c r="BA8" s="74">
        <f>SUM(BA6:BA7)</f>
        <v>1</v>
      </c>
      <c r="BB8" s="61"/>
      <c r="BC8" s="61" t="s">
        <v>744</v>
      </c>
      <c r="BD8" s="74">
        <f>SUM(BD6:BD7)</f>
        <v>1</v>
      </c>
      <c r="BE8" s="61"/>
      <c r="BF8" s="63" t="s">
        <v>744</v>
      </c>
      <c r="BG8" s="74">
        <f>SUM(BG6:BG7)</f>
        <v>1</v>
      </c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</row>
    <row r="9" spans="1:71" ht="25.5" x14ac:dyDescent="0.2">
      <c r="A9" s="11" t="s">
        <v>1348</v>
      </c>
      <c r="B9" s="11" t="s">
        <v>1349</v>
      </c>
      <c r="C9" s="3">
        <v>0.1</v>
      </c>
      <c r="D9" s="20" t="s">
        <v>1348</v>
      </c>
      <c r="E9" s="11" t="s">
        <v>1349</v>
      </c>
      <c r="F9" s="46">
        <v>0.1</v>
      </c>
      <c r="G9" s="13" t="s">
        <v>1350</v>
      </c>
      <c r="H9" s="11" t="s">
        <v>1351</v>
      </c>
      <c r="I9" s="3">
        <v>0.1</v>
      </c>
      <c r="J9" s="13" t="s">
        <v>1350</v>
      </c>
      <c r="K9" s="11" t="s">
        <v>1351</v>
      </c>
      <c r="L9" s="46">
        <v>0.1</v>
      </c>
      <c r="M9" s="13" t="s">
        <v>1352</v>
      </c>
      <c r="N9" s="11" t="s">
        <v>1353</v>
      </c>
      <c r="O9" s="3">
        <v>0.1</v>
      </c>
      <c r="P9" s="11" t="s">
        <v>1352</v>
      </c>
      <c r="Q9" s="11" t="s">
        <v>1353</v>
      </c>
      <c r="R9" s="3">
        <v>0.1</v>
      </c>
      <c r="S9" s="12" t="s">
        <v>1354</v>
      </c>
      <c r="T9" s="5" t="s">
        <v>1355</v>
      </c>
      <c r="U9" s="3">
        <v>0.1</v>
      </c>
      <c r="V9" s="5" t="s">
        <v>1354</v>
      </c>
      <c r="W9" s="5" t="s">
        <v>1355</v>
      </c>
      <c r="X9" s="3">
        <v>0.1</v>
      </c>
      <c r="Y9" s="13" t="s">
        <v>1356</v>
      </c>
      <c r="Z9" s="11" t="s">
        <v>1357</v>
      </c>
      <c r="AA9" s="3">
        <v>0.1</v>
      </c>
      <c r="AB9" s="11" t="s">
        <v>1356</v>
      </c>
      <c r="AC9" s="11" t="s">
        <v>1357</v>
      </c>
      <c r="AD9" s="3">
        <v>0.1</v>
      </c>
      <c r="AE9" s="13" t="s">
        <v>1356</v>
      </c>
      <c r="AF9" s="11" t="s">
        <v>1357</v>
      </c>
      <c r="AG9" s="3">
        <v>0.1</v>
      </c>
      <c r="AH9" s="105" t="s">
        <v>1362</v>
      </c>
      <c r="AI9" s="104" t="s">
        <v>1363</v>
      </c>
      <c r="AJ9" s="70">
        <f>SUM(AJ2,AJ6)</f>
        <v>0.19239999999999999</v>
      </c>
      <c r="AK9" s="104" t="s">
        <v>1362</v>
      </c>
      <c r="AL9" s="104" t="s">
        <v>1363</v>
      </c>
      <c r="AM9" s="70">
        <f>SUM(AM2,AM6)</f>
        <v>0.19239999999999999</v>
      </c>
      <c r="AN9" s="104" t="s">
        <v>1363</v>
      </c>
      <c r="AO9" s="70">
        <f>SUM(AO2,AO6)</f>
        <v>0.19239999999999999</v>
      </c>
      <c r="AP9" s="104" t="s">
        <v>1362</v>
      </c>
      <c r="AQ9" s="104" t="s">
        <v>1363</v>
      </c>
      <c r="AR9" s="70">
        <f>SUM(AR2,AR6)</f>
        <v>0.19239999999999999</v>
      </c>
      <c r="AS9" s="105" t="s">
        <v>1365</v>
      </c>
      <c r="AT9" s="104" t="s">
        <v>1366</v>
      </c>
      <c r="AU9" s="70">
        <f>SUM(AU3:AU4,AU6:AU7)</f>
        <v>0.75339999999999996</v>
      </c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</row>
    <row r="10" spans="1:71" x14ac:dyDescent="0.2">
      <c r="A10" s="104" t="s">
        <v>1362</v>
      </c>
      <c r="B10" s="104" t="s">
        <v>1363</v>
      </c>
      <c r="C10" s="70">
        <f>SUM(C2,C6)</f>
        <v>0.2</v>
      </c>
      <c r="D10" s="104" t="s">
        <v>1362</v>
      </c>
      <c r="E10" s="104" t="s">
        <v>1363</v>
      </c>
      <c r="F10" s="70">
        <f>SUM(F2,F6)</f>
        <v>0.2</v>
      </c>
      <c r="G10" s="104" t="s">
        <v>1362</v>
      </c>
      <c r="H10" s="104" t="s">
        <v>1363</v>
      </c>
      <c r="I10" s="70">
        <f>SUM(I2,I6)</f>
        <v>0.2</v>
      </c>
      <c r="J10" s="104" t="s">
        <v>1362</v>
      </c>
      <c r="K10" s="104" t="s">
        <v>1363</v>
      </c>
      <c r="L10" s="70">
        <f>SUM(L2,L6)</f>
        <v>0.2</v>
      </c>
      <c r="M10" s="104" t="s">
        <v>1362</v>
      </c>
      <c r="N10" s="104" t="s">
        <v>1363</v>
      </c>
      <c r="O10" s="70">
        <f>SUM(O2,O6)</f>
        <v>0.2</v>
      </c>
      <c r="P10" s="104" t="s">
        <v>1362</v>
      </c>
      <c r="Q10" s="104" t="s">
        <v>1363</v>
      </c>
      <c r="R10" s="70">
        <f>SUM(R2,R6)</f>
        <v>0.2</v>
      </c>
      <c r="S10" s="104" t="s">
        <v>1362</v>
      </c>
      <c r="T10" s="104" t="s">
        <v>1363</v>
      </c>
      <c r="U10" s="70">
        <f>SUM(U2,U6)</f>
        <v>0.2</v>
      </c>
      <c r="V10" s="104" t="s">
        <v>1362</v>
      </c>
      <c r="W10" s="104" t="s">
        <v>1363</v>
      </c>
      <c r="X10" s="70">
        <f>SUM(X2,X6)</f>
        <v>0.2</v>
      </c>
      <c r="Y10" s="104" t="s">
        <v>1362</v>
      </c>
      <c r="Z10" s="104" t="s">
        <v>1363</v>
      </c>
      <c r="AA10" s="70">
        <f>SUM(AA2,AA6)</f>
        <v>0.2</v>
      </c>
      <c r="AB10" s="104" t="s">
        <v>1362</v>
      </c>
      <c r="AC10" s="104" t="s">
        <v>1363</v>
      </c>
      <c r="AD10" s="70">
        <f>SUM(AD2,AD6)</f>
        <v>0.2</v>
      </c>
      <c r="AE10" s="104" t="s">
        <v>1362</v>
      </c>
      <c r="AF10" s="104" t="s">
        <v>1363</v>
      </c>
      <c r="AG10" s="70">
        <f>SUM(AG2,AG6)</f>
        <v>0.2</v>
      </c>
      <c r="AH10" s="126" t="s">
        <v>1365</v>
      </c>
      <c r="AI10" s="153" t="s">
        <v>1366</v>
      </c>
      <c r="AJ10" s="125">
        <f>SUM(AJ3:AJ4,AJ7:AJ8)</f>
        <v>0.72599999999999998</v>
      </c>
      <c r="AK10" s="126" t="s">
        <v>1365</v>
      </c>
      <c r="AL10" s="153" t="s">
        <v>1366</v>
      </c>
      <c r="AM10" s="125">
        <f>SUM(AM3:AM4,AM7:AM8)</f>
        <v>0.72599999999999998</v>
      </c>
      <c r="AN10" s="153" t="s">
        <v>1366</v>
      </c>
      <c r="AO10" s="125">
        <f>SUM(AO3:AO4,AO7:AO8)</f>
        <v>0.72599999999999998</v>
      </c>
      <c r="AP10" s="126" t="s">
        <v>1365</v>
      </c>
      <c r="AQ10" s="153" t="s">
        <v>1366</v>
      </c>
      <c r="AR10" s="125">
        <f>SUM(AR3:AR4,AR7:AR8)</f>
        <v>0.72599999999999998</v>
      </c>
      <c r="AS10" s="61"/>
      <c r="AT10" s="61" t="s">
        <v>744</v>
      </c>
      <c r="AU10" s="74">
        <f>SUM(AU8:AU9)</f>
        <v>1</v>
      </c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</row>
    <row r="11" spans="1:71" x14ac:dyDescent="0.2">
      <c r="A11" s="104" t="s">
        <v>1365</v>
      </c>
      <c r="B11" s="104" t="s">
        <v>1366</v>
      </c>
      <c r="C11" s="70">
        <f>SUM(C3:C4,C7:C8)</f>
        <v>0.6</v>
      </c>
      <c r="D11" s="104" t="s">
        <v>1365</v>
      </c>
      <c r="E11" s="104" t="s">
        <v>1366</v>
      </c>
      <c r="F11" s="70">
        <f>SUM(F3:F4,F7:F8)</f>
        <v>0.6</v>
      </c>
      <c r="G11" s="104" t="s">
        <v>1365</v>
      </c>
      <c r="H11" s="104" t="s">
        <v>1366</v>
      </c>
      <c r="I11" s="70">
        <f>SUM(I3:I4,I7:I8)</f>
        <v>0.6</v>
      </c>
      <c r="J11" s="104" t="s">
        <v>1365</v>
      </c>
      <c r="K11" s="104" t="s">
        <v>1366</v>
      </c>
      <c r="L11" s="70">
        <f>SUM(L3:L4,L7:L8)</f>
        <v>0.6</v>
      </c>
      <c r="M11" s="104" t="s">
        <v>1365</v>
      </c>
      <c r="N11" s="104" t="s">
        <v>1366</v>
      </c>
      <c r="O11" s="70">
        <f>SUM(O3:O4,O7:O8)</f>
        <v>0.6</v>
      </c>
      <c r="P11" s="104" t="s">
        <v>1365</v>
      </c>
      <c r="Q11" s="104" t="s">
        <v>1366</v>
      </c>
      <c r="R11" s="70">
        <f>SUM(R3:R4,R7:R8)</f>
        <v>0.6</v>
      </c>
      <c r="S11" s="104" t="s">
        <v>1365</v>
      </c>
      <c r="T11" s="104" t="s">
        <v>1366</v>
      </c>
      <c r="U11" s="70">
        <f>SUM(U3:U4,U7:U8)</f>
        <v>0.6</v>
      </c>
      <c r="V11" s="104" t="s">
        <v>1365</v>
      </c>
      <c r="W11" s="104" t="s">
        <v>1366</v>
      </c>
      <c r="X11" s="70">
        <f>SUM(X3:X4,X7:X8)</f>
        <v>0.6</v>
      </c>
      <c r="Y11" s="104" t="s">
        <v>1365</v>
      </c>
      <c r="Z11" s="104" t="s">
        <v>1366</v>
      </c>
      <c r="AA11" s="70">
        <f>SUM(AA3:AA4,AA7:AA8)</f>
        <v>0.6</v>
      </c>
      <c r="AB11" s="104" t="s">
        <v>1365</v>
      </c>
      <c r="AC11" s="104" t="s">
        <v>1366</v>
      </c>
      <c r="AD11" s="70">
        <f>SUM(AD3:AD4,AD7:AD8)</f>
        <v>0.6</v>
      </c>
      <c r="AE11" s="104" t="s">
        <v>1365</v>
      </c>
      <c r="AF11" s="104" t="s">
        <v>1366</v>
      </c>
      <c r="AG11" s="70">
        <f>SUM(AG3:AG4,AG7:AG8)</f>
        <v>0.6</v>
      </c>
      <c r="AH11" s="57" t="s">
        <v>1368</v>
      </c>
      <c r="AI11" s="104" t="s">
        <v>1369</v>
      </c>
      <c r="AJ11" s="70">
        <f>AJ5</f>
        <v>8.1699999999999995E-2</v>
      </c>
      <c r="AK11" s="2" t="s">
        <v>1368</v>
      </c>
      <c r="AL11" s="104" t="s">
        <v>1369</v>
      </c>
      <c r="AM11" s="70">
        <f>AM5</f>
        <v>8.1699999999999995E-2</v>
      </c>
      <c r="AN11" s="104" t="s">
        <v>1369</v>
      </c>
      <c r="AO11" s="70">
        <f>AO5</f>
        <v>8.1699999999999995E-2</v>
      </c>
      <c r="AP11" s="2" t="s">
        <v>1368</v>
      </c>
      <c r="AQ11" s="104" t="s">
        <v>1369</v>
      </c>
      <c r="AR11" s="70">
        <f>AR5</f>
        <v>8.1699999999999995E-2</v>
      </c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</row>
    <row r="12" spans="1:71" x14ac:dyDescent="0.2">
      <c r="A12" s="2" t="s">
        <v>1368</v>
      </c>
      <c r="B12" s="104" t="s">
        <v>1369</v>
      </c>
      <c r="C12" s="70">
        <f>SUM(C5,C9)</f>
        <v>0.2</v>
      </c>
      <c r="D12" s="2" t="s">
        <v>1368</v>
      </c>
      <c r="E12" s="104" t="s">
        <v>1369</v>
      </c>
      <c r="F12" s="70">
        <f>SUM(F5,F9)</f>
        <v>0.2</v>
      </c>
      <c r="G12" s="2" t="s">
        <v>1368</v>
      </c>
      <c r="H12" s="104" t="s">
        <v>1369</v>
      </c>
      <c r="I12" s="70">
        <f>SUM(I5,I9)</f>
        <v>0.2</v>
      </c>
      <c r="J12" s="2" t="s">
        <v>1368</v>
      </c>
      <c r="K12" s="104" t="s">
        <v>1369</v>
      </c>
      <c r="L12" s="70">
        <f>SUM(L5,L9)</f>
        <v>0.2</v>
      </c>
      <c r="M12" s="2" t="s">
        <v>1368</v>
      </c>
      <c r="N12" s="104" t="s">
        <v>1369</v>
      </c>
      <c r="O12" s="70">
        <f>SUM(O5,O9)</f>
        <v>0.2</v>
      </c>
      <c r="P12" s="2" t="s">
        <v>1368</v>
      </c>
      <c r="Q12" s="104" t="s">
        <v>1369</v>
      </c>
      <c r="R12" s="70">
        <f>SUM(R5,R9)</f>
        <v>0.2</v>
      </c>
      <c r="S12" s="2" t="s">
        <v>1368</v>
      </c>
      <c r="T12" s="104" t="s">
        <v>1369</v>
      </c>
      <c r="U12" s="70">
        <f>SUM(U5,U9)</f>
        <v>0.2</v>
      </c>
      <c r="V12" s="2" t="s">
        <v>1368</v>
      </c>
      <c r="W12" s="104" t="s">
        <v>1369</v>
      </c>
      <c r="X12" s="70">
        <f>SUM(X5,X9)</f>
        <v>0.2</v>
      </c>
      <c r="Y12" s="2" t="s">
        <v>1368</v>
      </c>
      <c r="Z12" s="104" t="s">
        <v>1369</v>
      </c>
      <c r="AA12" s="70">
        <f>SUM(AA5,AA9)</f>
        <v>0.2</v>
      </c>
      <c r="AB12" s="2" t="s">
        <v>1368</v>
      </c>
      <c r="AC12" s="104" t="s">
        <v>1369</v>
      </c>
      <c r="AD12" s="70">
        <f>SUM(AD5,AD9)</f>
        <v>0.2</v>
      </c>
      <c r="AE12" s="2" t="s">
        <v>1368</v>
      </c>
      <c r="AF12" s="104" t="s">
        <v>1369</v>
      </c>
      <c r="AG12" s="70">
        <f>SUM(AG5,AG9)</f>
        <v>0.2</v>
      </c>
      <c r="AH12" s="65"/>
      <c r="AI12" s="61" t="s">
        <v>744</v>
      </c>
      <c r="AJ12" s="74">
        <f>SUM(AJ9:AJ11)</f>
        <v>1.0001</v>
      </c>
      <c r="AK12" s="61"/>
      <c r="AL12" s="61" t="s">
        <v>744</v>
      </c>
      <c r="AM12" s="74">
        <f>SUM(AM9:AM11)</f>
        <v>1.0001</v>
      </c>
      <c r="AN12" s="61" t="s">
        <v>744</v>
      </c>
      <c r="AO12" s="74">
        <f>SUM(AO9:AO11)</f>
        <v>1.0001</v>
      </c>
      <c r="AP12" s="61"/>
      <c r="AQ12" s="61" t="s">
        <v>744</v>
      </c>
      <c r="AR12" s="74">
        <f>SUM(AR9:AR11)</f>
        <v>1.0001</v>
      </c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</row>
    <row r="13" spans="1:71" x14ac:dyDescent="0.2">
      <c r="A13" s="61"/>
      <c r="B13" s="61" t="s">
        <v>744</v>
      </c>
      <c r="C13" s="74">
        <f>SUM(C10:C12)</f>
        <v>1</v>
      </c>
      <c r="D13" s="61"/>
      <c r="E13" s="61" t="s">
        <v>744</v>
      </c>
      <c r="F13" s="74">
        <f>SUM(F10:F12)</f>
        <v>1</v>
      </c>
      <c r="G13" s="61"/>
      <c r="H13" s="61" t="s">
        <v>744</v>
      </c>
      <c r="I13" s="74">
        <f>SUM(I10:I12)</f>
        <v>1</v>
      </c>
      <c r="J13" s="61"/>
      <c r="K13" s="61" t="s">
        <v>744</v>
      </c>
      <c r="L13" s="74">
        <f>SUM(L10:L12)</f>
        <v>1</v>
      </c>
      <c r="M13" s="61"/>
      <c r="N13" s="61" t="s">
        <v>744</v>
      </c>
      <c r="O13" s="74">
        <f>SUM(O10:O12)</f>
        <v>1</v>
      </c>
      <c r="P13" s="61"/>
      <c r="Q13" s="61" t="s">
        <v>744</v>
      </c>
      <c r="R13" s="74">
        <f>SUM(R10:R12)</f>
        <v>1</v>
      </c>
      <c r="S13" s="61"/>
      <c r="T13" s="61" t="s">
        <v>744</v>
      </c>
      <c r="U13" s="74">
        <f>SUM(U10:U12)</f>
        <v>1</v>
      </c>
      <c r="V13" s="61"/>
      <c r="W13" s="61" t="s">
        <v>744</v>
      </c>
      <c r="X13" s="74">
        <f>SUM(X10:X12)</f>
        <v>1</v>
      </c>
      <c r="Y13" s="61"/>
      <c r="Z13" s="61" t="s">
        <v>744</v>
      </c>
      <c r="AA13" s="74">
        <f>SUM(AA10:AA12)</f>
        <v>1</v>
      </c>
      <c r="AB13" s="61"/>
      <c r="AC13" s="61" t="s">
        <v>744</v>
      </c>
      <c r="AD13" s="74">
        <f>SUM(AD10:AD12)</f>
        <v>1</v>
      </c>
      <c r="AE13" s="61"/>
      <c r="AF13" s="61" t="s">
        <v>744</v>
      </c>
      <c r="AG13" s="74">
        <f>SUM(AG10:AG12)</f>
        <v>1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</row>
    <row r="14" spans="1:7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</row>
    <row r="15" spans="1:7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</row>
    <row r="16" spans="1:7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</row>
    <row r="17" spans="1:7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</row>
    <row r="18" spans="1:7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</row>
    <row r="19" spans="1:7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</row>
    <row r="20" spans="1:7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</row>
    <row r="21" spans="1:7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</row>
    <row r="22" spans="1:7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</row>
    <row r="23" spans="1:7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</row>
    <row r="24" spans="1:7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</row>
    <row r="25" spans="1:7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</row>
    <row r="26" spans="1:7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</row>
    <row r="27" spans="1:7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</row>
    <row r="28" spans="1:7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</row>
    <row r="29" spans="1:7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</row>
    <row r="30" spans="1:7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</row>
    <row r="31" spans="1:7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</row>
    <row r="32" spans="1:7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</row>
    <row r="33" spans="1:7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</row>
    <row r="34" spans="1:7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</row>
    <row r="35" spans="1:7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</row>
    <row r="36" spans="1:7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</row>
    <row r="37" spans="1:7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</row>
    <row r="38" spans="1:7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</row>
    <row r="39" spans="1:7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</row>
    <row r="40" spans="1:7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</row>
    <row r="41" spans="1:7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</row>
    <row r="42" spans="1:7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</row>
    <row r="43" spans="1:7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</row>
    <row r="44" spans="1:7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</row>
    <row r="45" spans="1:7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</row>
    <row r="46" spans="1:7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</row>
    <row r="47" spans="1:7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</row>
    <row r="48" spans="1:7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</row>
    <row r="49" spans="1:7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</row>
    <row r="50" spans="1:7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</row>
    <row r="51" spans="1:7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</row>
    <row r="52" spans="1:7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</row>
    <row r="53" spans="1:7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</row>
    <row r="54" spans="1:7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</row>
    <row r="55" spans="1:7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</row>
    <row r="56" spans="1:7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</row>
    <row r="57" spans="1:7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</row>
    <row r="58" spans="1:7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</row>
    <row r="59" spans="1:7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</row>
    <row r="60" spans="1:7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</row>
    <row r="61" spans="1:7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</row>
    <row r="62" spans="1:7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</row>
    <row r="63" spans="1:7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</row>
    <row r="64" spans="1:7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</row>
    <row r="65" spans="1:7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</row>
    <row r="66" spans="1:7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</row>
    <row r="67" spans="1:7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</row>
    <row r="68" spans="1:7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</row>
    <row r="69" spans="1:7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</row>
    <row r="70" spans="1:7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</row>
    <row r="71" spans="1:7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</row>
    <row r="72" spans="1:7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</row>
    <row r="73" spans="1:7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</row>
    <row r="74" spans="1:7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</row>
    <row r="75" spans="1:7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</row>
    <row r="76" spans="1:7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</row>
    <row r="77" spans="1:7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</row>
    <row r="78" spans="1:7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</row>
    <row r="79" spans="1:7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</row>
    <row r="80" spans="1:7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</row>
    <row r="81" spans="1:7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</row>
    <row r="82" spans="1:7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</row>
    <row r="83" spans="1:7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</row>
    <row r="84" spans="1:7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</row>
    <row r="85" spans="1:7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</row>
    <row r="86" spans="1:7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</row>
    <row r="87" spans="1:7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</row>
    <row r="88" spans="1:7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</row>
    <row r="89" spans="1:7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</row>
    <row r="90" spans="1:7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</row>
    <row r="91" spans="1:7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</row>
    <row r="92" spans="1:7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</row>
    <row r="93" spans="1:7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</row>
    <row r="94" spans="1:7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</row>
    <row r="95" spans="1:7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</row>
    <row r="96" spans="1:7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</row>
    <row r="97" spans="1:7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</row>
    <row r="98" spans="1:7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</row>
    <row r="99" spans="1:7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</row>
    <row r="100" spans="1:7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</row>
    <row r="101" spans="1:7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</row>
    <row r="102" spans="1:7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</row>
    <row r="103" spans="1:7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</row>
    <row r="104" spans="1:7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</row>
    <row r="105" spans="1:7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</row>
    <row r="106" spans="1:7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</row>
    <row r="107" spans="1:7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</row>
    <row r="108" spans="1:7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</row>
    <row r="109" spans="1:7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</row>
    <row r="110" spans="1:7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</row>
    <row r="111" spans="1:7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</row>
    <row r="112" spans="1:7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</row>
    <row r="113" spans="1:7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</row>
    <row r="114" spans="1:7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</row>
    <row r="115" spans="1:7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</row>
    <row r="116" spans="1:7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</row>
    <row r="117" spans="1:7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</row>
    <row r="118" spans="1:7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</row>
    <row r="119" spans="1:7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</row>
    <row r="120" spans="1:7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</row>
    <row r="121" spans="1:7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</row>
    <row r="122" spans="1:7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</row>
    <row r="123" spans="1:7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</row>
    <row r="124" spans="1:7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</row>
    <row r="125" spans="1:7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</row>
    <row r="126" spans="1:7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</row>
    <row r="127" spans="1:7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</row>
    <row r="128" spans="1:7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</row>
    <row r="129" spans="1:7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</row>
    <row r="130" spans="1:7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</row>
    <row r="131" spans="1:7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</row>
    <row r="132" spans="1:7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</row>
    <row r="133" spans="1:7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</row>
    <row r="134" spans="1:7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</row>
    <row r="135" spans="1:7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</row>
    <row r="136" spans="1:7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</row>
    <row r="137" spans="1:7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</row>
    <row r="138" spans="1:7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</row>
    <row r="139" spans="1:7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</row>
    <row r="140" spans="1:7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</row>
    <row r="141" spans="1:7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</row>
    <row r="142" spans="1:7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</row>
    <row r="143" spans="1:7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</row>
    <row r="144" spans="1:7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</row>
    <row r="145" spans="1:7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</row>
    <row r="146" spans="1:7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</row>
    <row r="147" spans="1:7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</row>
    <row r="148" spans="1:7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</row>
    <row r="149" spans="1:7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</row>
    <row r="150" spans="1:7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</row>
    <row r="151" spans="1:7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</row>
    <row r="152" spans="1:7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</row>
    <row r="153" spans="1:7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</row>
    <row r="154" spans="1:7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</row>
    <row r="155" spans="1:7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</row>
    <row r="156" spans="1:7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</row>
    <row r="157" spans="1:7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</row>
    <row r="158" spans="1:7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</row>
    <row r="159" spans="1:7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</row>
    <row r="160" spans="1:7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</row>
    <row r="161" spans="1:7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</row>
    <row r="162" spans="1:7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</row>
    <row r="163" spans="1:7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</row>
    <row r="164" spans="1:7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</row>
    <row r="165" spans="1:7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</row>
    <row r="166" spans="1:7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</row>
    <row r="167" spans="1:7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</row>
    <row r="168" spans="1:7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</row>
    <row r="169" spans="1:7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</row>
    <row r="170" spans="1:7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</row>
    <row r="171" spans="1:7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</row>
    <row r="172" spans="1:7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</row>
    <row r="173" spans="1:7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</row>
    <row r="174" spans="1:7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</row>
    <row r="175" spans="1:7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</row>
    <row r="176" spans="1:7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</row>
    <row r="177" spans="1:7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</row>
    <row r="178" spans="1:7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</row>
    <row r="179" spans="1:7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</row>
    <row r="180" spans="1:7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</row>
    <row r="181" spans="1:7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</row>
    <row r="182" spans="1:7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</row>
    <row r="183" spans="1:7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</row>
    <row r="184" spans="1:7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</row>
    <row r="185" spans="1:7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</row>
    <row r="186" spans="1:7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</row>
    <row r="187" spans="1:7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</row>
    <row r="188" spans="1:7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</row>
    <row r="189" spans="1:7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</row>
    <row r="190" spans="1:7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</row>
    <row r="191" spans="1:7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</row>
    <row r="192" spans="1:7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</row>
    <row r="193" spans="1:7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</row>
    <row r="194" spans="1:7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</row>
    <row r="195" spans="1:7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</row>
    <row r="196" spans="1:7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</row>
    <row r="197" spans="1:7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</row>
    <row r="198" spans="1:7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</row>
    <row r="199" spans="1:7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</row>
    <row r="200" spans="1:7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</row>
  </sheetData>
  <mergeCells count="19">
    <mergeCell ref="AH1:AI1"/>
    <mergeCell ref="AP1:AQ1"/>
    <mergeCell ref="AV1:AW1"/>
    <mergeCell ref="BE1:BF1"/>
    <mergeCell ref="BB1:BC1"/>
    <mergeCell ref="AY1:AZ1"/>
    <mergeCell ref="AS1:AT1"/>
    <mergeCell ref="AK1:AL1"/>
    <mergeCell ref="A1:B1"/>
    <mergeCell ref="AE1:AF1"/>
    <mergeCell ref="Y1:Z1"/>
    <mergeCell ref="S1:T1"/>
    <mergeCell ref="M1:N1"/>
    <mergeCell ref="G1:H1"/>
    <mergeCell ref="D1:E1"/>
    <mergeCell ref="J1:K1"/>
    <mergeCell ref="P1:Q1"/>
    <mergeCell ref="V1:W1"/>
    <mergeCell ref="AB1:AC1"/>
  </mergeCells>
  <phoneticPr fontId="6" type="noConversion"/>
  <pageMargins left="0.7" right="0.7" top="0.75" bottom="0.75" header="0.3" footer="0.3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201"/>
  <sheetViews>
    <sheetView workbookViewId="0">
      <selection sqref="A1:B1"/>
    </sheetView>
  </sheetViews>
  <sheetFormatPr defaultColWidth="14" defaultRowHeight="12.75" x14ac:dyDescent="0.2"/>
  <cols>
    <col min="1" max="10" width="16" customWidth="1"/>
    <col min="11" max="12" width="17" customWidth="1"/>
    <col min="13" max="13" width="29" customWidth="1"/>
    <col min="14" max="14" width="15" customWidth="1"/>
    <col min="15" max="15" width="7" customWidth="1"/>
    <col min="16" max="16" width="17" customWidth="1"/>
    <col min="17" max="17" width="13" customWidth="1"/>
    <col min="18" max="18" width="7" customWidth="1"/>
    <col min="19" max="20" width="12" customWidth="1"/>
    <col min="21" max="21" width="7" customWidth="1"/>
    <col min="22" max="23" width="12" customWidth="1"/>
    <col min="24" max="24" width="7" customWidth="1"/>
    <col min="25" max="26" width="12" customWidth="1"/>
    <col min="27" max="27" width="7" customWidth="1"/>
    <col min="28" max="44" width="14" customWidth="1"/>
  </cols>
  <sheetData>
    <row r="1" spans="1:27" x14ac:dyDescent="0.2">
      <c r="A1" s="211">
        <v>46098</v>
      </c>
      <c r="B1" s="211"/>
      <c r="C1" s="149" t="s">
        <v>0</v>
      </c>
      <c r="D1" s="207">
        <v>46063</v>
      </c>
      <c r="E1" s="212"/>
      <c r="F1" s="146" t="s">
        <v>0</v>
      </c>
      <c r="G1" s="212">
        <v>46037</v>
      </c>
      <c r="H1" s="212"/>
      <c r="I1" s="146" t="s">
        <v>0</v>
      </c>
      <c r="J1" s="212">
        <v>46000</v>
      </c>
      <c r="K1" s="212"/>
      <c r="L1" s="146" t="s">
        <v>0</v>
      </c>
      <c r="M1" s="212">
        <v>45930</v>
      </c>
      <c r="N1" s="212"/>
      <c r="O1" s="146" t="s">
        <v>0</v>
      </c>
      <c r="P1" s="212">
        <v>45776</v>
      </c>
      <c r="Q1" s="212"/>
      <c r="R1" s="146" t="s">
        <v>0</v>
      </c>
      <c r="S1" s="212">
        <v>45708</v>
      </c>
      <c r="T1" s="212"/>
      <c r="U1" s="146" t="s">
        <v>0</v>
      </c>
      <c r="V1" s="212">
        <v>45680</v>
      </c>
      <c r="W1" s="212"/>
      <c r="X1" s="146" t="s">
        <v>0</v>
      </c>
      <c r="Y1" s="212">
        <v>45565</v>
      </c>
      <c r="Z1" s="212"/>
      <c r="AA1" s="146" t="s">
        <v>0</v>
      </c>
    </row>
    <row r="2" spans="1:27" x14ac:dyDescent="0.2">
      <c r="A2" s="175" t="s">
        <v>1370</v>
      </c>
      <c r="B2" s="175" t="s">
        <v>951</v>
      </c>
      <c r="C2" s="14">
        <v>0.06</v>
      </c>
      <c r="D2" s="12" t="s">
        <v>952</v>
      </c>
      <c r="E2" s="12" t="s">
        <v>953</v>
      </c>
      <c r="F2" s="3">
        <v>5.4100000000000002E-2</v>
      </c>
      <c r="G2" s="176" t="s">
        <v>954</v>
      </c>
      <c r="H2" s="9" t="s">
        <v>955</v>
      </c>
      <c r="I2" s="3">
        <v>0.05</v>
      </c>
      <c r="J2" s="15" t="s">
        <v>956</v>
      </c>
      <c r="K2" s="9" t="s">
        <v>957</v>
      </c>
      <c r="L2" s="46">
        <v>5.7599999999999998E-2</v>
      </c>
      <c r="M2" s="97" t="s">
        <v>1371</v>
      </c>
      <c r="N2" s="96" t="s">
        <v>1372</v>
      </c>
      <c r="O2" s="177">
        <v>0.15</v>
      </c>
      <c r="P2" s="83" t="s">
        <v>11</v>
      </c>
      <c r="Q2" s="82" t="s">
        <v>12</v>
      </c>
      <c r="R2" s="3">
        <v>5.0000000000000001E-3</v>
      </c>
      <c r="S2" s="13" t="s">
        <v>1373</v>
      </c>
      <c r="T2" s="11" t="s">
        <v>1374</v>
      </c>
      <c r="U2" s="46">
        <v>0.21429999999999999</v>
      </c>
      <c r="V2" s="13" t="s">
        <v>1373</v>
      </c>
      <c r="W2" s="11" t="s">
        <v>1374</v>
      </c>
      <c r="X2" s="46">
        <v>0.21429999999999999</v>
      </c>
      <c r="Y2" s="96" t="s">
        <v>40</v>
      </c>
      <c r="Z2" s="96" t="s">
        <v>41</v>
      </c>
      <c r="AA2" s="3">
        <v>0.1759</v>
      </c>
    </row>
    <row r="3" spans="1:27" x14ac:dyDescent="0.2">
      <c r="A3" s="178" t="s">
        <v>812</v>
      </c>
      <c r="B3" s="178" t="s">
        <v>813</v>
      </c>
      <c r="C3" s="14">
        <v>0.16</v>
      </c>
      <c r="D3" s="12" t="s">
        <v>814</v>
      </c>
      <c r="E3" s="12" t="s">
        <v>815</v>
      </c>
      <c r="F3" s="3">
        <v>0.1351</v>
      </c>
      <c r="G3" s="171" t="s">
        <v>825</v>
      </c>
      <c r="H3" s="9" t="s">
        <v>817</v>
      </c>
      <c r="I3" s="3">
        <v>0.2</v>
      </c>
      <c r="J3" s="15" t="s">
        <v>818</v>
      </c>
      <c r="K3" s="9" t="s">
        <v>819</v>
      </c>
      <c r="L3" s="46">
        <v>0.1552</v>
      </c>
      <c r="M3" s="83" t="s">
        <v>1375</v>
      </c>
      <c r="N3" s="82" t="s">
        <v>1376</v>
      </c>
      <c r="O3" s="3">
        <v>0.21249999999999999</v>
      </c>
      <c r="P3" s="83" t="s">
        <v>213</v>
      </c>
      <c r="Q3" s="82" t="s">
        <v>214</v>
      </c>
      <c r="R3" s="3">
        <v>5.0000000000000001E-3</v>
      </c>
      <c r="S3" s="12" t="s">
        <v>1377</v>
      </c>
      <c r="T3" s="5" t="s">
        <v>1378</v>
      </c>
      <c r="U3" s="3">
        <v>0.35709999999999997</v>
      </c>
      <c r="V3" s="12" t="s">
        <v>1377</v>
      </c>
      <c r="W3" s="5" t="s">
        <v>1378</v>
      </c>
      <c r="X3" s="3">
        <v>0.35709999999999997</v>
      </c>
      <c r="Y3" s="82" t="s">
        <v>426</v>
      </c>
      <c r="Z3" s="82" t="s">
        <v>427</v>
      </c>
      <c r="AA3" s="3">
        <v>0.216</v>
      </c>
    </row>
    <row r="4" spans="1:27" x14ac:dyDescent="0.2">
      <c r="A4" s="178" t="s">
        <v>830</v>
      </c>
      <c r="B4" s="178" t="s">
        <v>831</v>
      </c>
      <c r="C4" s="14">
        <v>0.16</v>
      </c>
      <c r="D4" s="12" t="s">
        <v>823</v>
      </c>
      <c r="E4" s="12" t="s">
        <v>824</v>
      </c>
      <c r="F4" s="3">
        <v>0.1351</v>
      </c>
      <c r="G4" s="171" t="s">
        <v>816</v>
      </c>
      <c r="H4" s="9" t="s">
        <v>826</v>
      </c>
      <c r="I4" s="3">
        <v>0.125</v>
      </c>
      <c r="J4" s="15" t="s">
        <v>827</v>
      </c>
      <c r="K4" s="9" t="s">
        <v>828</v>
      </c>
      <c r="L4" s="46">
        <v>0.1552</v>
      </c>
      <c r="M4" s="83" t="s">
        <v>1379</v>
      </c>
      <c r="N4" s="82" t="s">
        <v>1380</v>
      </c>
      <c r="O4" s="3">
        <v>0.21249999999999999</v>
      </c>
      <c r="P4" s="83" t="s">
        <v>231</v>
      </c>
      <c r="Q4" s="82" t="s">
        <v>232</v>
      </c>
      <c r="R4" s="3">
        <v>5.0000000000000001E-3</v>
      </c>
      <c r="S4" s="12" t="s">
        <v>1381</v>
      </c>
      <c r="T4" s="5" t="s">
        <v>1382</v>
      </c>
      <c r="U4" s="3">
        <v>0.21429999999999999</v>
      </c>
      <c r="V4" s="12" t="s">
        <v>1381</v>
      </c>
      <c r="W4" s="5" t="s">
        <v>1382</v>
      </c>
      <c r="X4" s="3">
        <v>0.21429999999999999</v>
      </c>
      <c r="Y4" s="82" t="s">
        <v>458</v>
      </c>
      <c r="Z4" s="82" t="s">
        <v>459</v>
      </c>
      <c r="AA4" s="3">
        <v>0.216</v>
      </c>
    </row>
    <row r="5" spans="1:27" x14ac:dyDescent="0.2">
      <c r="A5" s="170" t="s">
        <v>1181</v>
      </c>
      <c r="B5" s="170" t="s">
        <v>1182</v>
      </c>
      <c r="C5" s="14">
        <v>0.32</v>
      </c>
      <c r="D5" s="12" t="s">
        <v>832</v>
      </c>
      <c r="E5" s="12" t="s">
        <v>833</v>
      </c>
      <c r="F5" s="3">
        <v>0.1351</v>
      </c>
      <c r="G5" s="171" t="s">
        <v>834</v>
      </c>
      <c r="H5" s="9" t="s">
        <v>835</v>
      </c>
      <c r="I5" s="3">
        <v>0.125</v>
      </c>
      <c r="J5" s="15" t="s">
        <v>1187</v>
      </c>
      <c r="K5" s="9" t="s">
        <v>1188</v>
      </c>
      <c r="L5" s="46">
        <v>0.33260000000000001</v>
      </c>
      <c r="M5" s="15" t="s">
        <v>1383</v>
      </c>
      <c r="N5" s="9" t="s">
        <v>1384</v>
      </c>
      <c r="O5" s="3">
        <v>0.21249999999999999</v>
      </c>
      <c r="P5" s="83" t="s">
        <v>324</v>
      </c>
      <c r="Q5" s="82" t="s">
        <v>325</v>
      </c>
      <c r="R5" s="3">
        <v>0.01</v>
      </c>
      <c r="S5" s="12" t="s">
        <v>1385</v>
      </c>
      <c r="T5" s="5" t="s">
        <v>1386</v>
      </c>
      <c r="U5" s="3">
        <v>0.21429999999999999</v>
      </c>
      <c r="V5" s="12" t="s">
        <v>1385</v>
      </c>
      <c r="W5" s="5" t="s">
        <v>1386</v>
      </c>
      <c r="X5" s="3">
        <v>0.21429999999999999</v>
      </c>
      <c r="Y5" s="82" t="s">
        <v>443</v>
      </c>
      <c r="Z5" s="82" t="s">
        <v>444</v>
      </c>
      <c r="AA5" s="3">
        <v>0.216</v>
      </c>
    </row>
    <row r="6" spans="1:27" ht="25.5" x14ac:dyDescent="0.2">
      <c r="A6" s="173" t="s">
        <v>961</v>
      </c>
      <c r="B6" s="173" t="s">
        <v>961</v>
      </c>
      <c r="C6" s="14">
        <v>0.3</v>
      </c>
      <c r="D6" s="12" t="s">
        <v>1387</v>
      </c>
      <c r="E6" s="12" t="s">
        <v>963</v>
      </c>
      <c r="F6" s="3">
        <v>0.27029999999999998</v>
      </c>
      <c r="G6" s="172" t="s">
        <v>1185</v>
      </c>
      <c r="H6" s="9" t="s">
        <v>1186</v>
      </c>
      <c r="I6" s="3">
        <v>0.25</v>
      </c>
      <c r="J6" s="15" t="s">
        <v>1388</v>
      </c>
      <c r="K6" s="9" t="s">
        <v>967</v>
      </c>
      <c r="L6" s="46">
        <v>0.29930000000000001</v>
      </c>
      <c r="M6" s="15" t="s">
        <v>1389</v>
      </c>
      <c r="N6" s="9" t="s">
        <v>68</v>
      </c>
      <c r="O6" s="3">
        <v>0.21249999999999999</v>
      </c>
      <c r="P6" s="83" t="s">
        <v>340</v>
      </c>
      <c r="Q6" s="82" t="s">
        <v>341</v>
      </c>
      <c r="R6" s="3">
        <v>0.02</v>
      </c>
      <c r="S6" s="126" t="s">
        <v>665</v>
      </c>
      <c r="T6" s="153" t="s">
        <v>666</v>
      </c>
      <c r="U6" s="125">
        <f>SUM(U2)</f>
        <v>0.21429999999999999</v>
      </c>
      <c r="V6" s="153" t="s">
        <v>665</v>
      </c>
      <c r="W6" s="153" t="s">
        <v>666</v>
      </c>
      <c r="X6" s="125">
        <f>SUM(X2)</f>
        <v>0.21429999999999999</v>
      </c>
      <c r="Y6" s="96" t="s">
        <v>358</v>
      </c>
      <c r="Z6" s="96" t="s">
        <v>359</v>
      </c>
      <c r="AA6" s="3">
        <v>0.1759</v>
      </c>
    </row>
    <row r="7" spans="1:27" x14ac:dyDescent="0.2">
      <c r="A7" s="126" t="s">
        <v>665</v>
      </c>
      <c r="B7" s="153" t="s">
        <v>666</v>
      </c>
      <c r="C7" s="125">
        <f>C2</f>
        <v>0.06</v>
      </c>
      <c r="D7" s="12" t="s">
        <v>1183</v>
      </c>
      <c r="E7" s="12" t="s">
        <v>1184</v>
      </c>
      <c r="F7" s="3">
        <v>0.27029999999999998</v>
      </c>
      <c r="G7" s="174" t="s">
        <v>964</v>
      </c>
      <c r="H7" s="18" t="s">
        <v>965</v>
      </c>
      <c r="I7" s="3">
        <v>0.25</v>
      </c>
      <c r="J7" s="126" t="s">
        <v>665</v>
      </c>
      <c r="K7" s="153" t="s">
        <v>666</v>
      </c>
      <c r="L7" s="125">
        <f>L2</f>
        <v>5.7599999999999998E-2</v>
      </c>
      <c r="M7" s="126" t="s">
        <v>665</v>
      </c>
      <c r="N7" s="153" t="s">
        <v>666</v>
      </c>
      <c r="O7" s="125">
        <f>O2</f>
        <v>0.15</v>
      </c>
      <c r="P7" s="82" t="s">
        <v>354</v>
      </c>
      <c r="Q7" s="82" t="s">
        <v>355</v>
      </c>
      <c r="R7" s="3">
        <v>0.05</v>
      </c>
      <c r="S7" s="105" t="s">
        <v>711</v>
      </c>
      <c r="T7" s="104" t="s">
        <v>712</v>
      </c>
      <c r="U7" s="70">
        <f>SUM(U3)</f>
        <v>0.35709999999999997</v>
      </c>
      <c r="V7" s="104" t="s">
        <v>711</v>
      </c>
      <c r="W7" s="104" t="s">
        <v>712</v>
      </c>
      <c r="X7" s="70">
        <f>SUM(X3)</f>
        <v>0.35709999999999997</v>
      </c>
      <c r="Y7" s="153" t="s">
        <v>665</v>
      </c>
      <c r="Z7" s="153" t="s">
        <v>666</v>
      </c>
      <c r="AA7" s="125">
        <f>SUM(AA2)</f>
        <v>0.1759</v>
      </c>
    </row>
    <row r="8" spans="1:27" x14ac:dyDescent="0.2">
      <c r="A8" s="57" t="s">
        <v>1225</v>
      </c>
      <c r="B8" s="104" t="s">
        <v>1224</v>
      </c>
      <c r="C8" s="70">
        <f>C5</f>
        <v>0.32</v>
      </c>
      <c r="D8" s="126" t="s">
        <v>665</v>
      </c>
      <c r="E8" s="153" t="s">
        <v>666</v>
      </c>
      <c r="F8" s="125">
        <f>F2</f>
        <v>5.4100000000000002E-2</v>
      </c>
      <c r="G8" s="126" t="s">
        <v>665</v>
      </c>
      <c r="H8" s="153" t="s">
        <v>666</v>
      </c>
      <c r="I8" s="125">
        <f>I2</f>
        <v>0.05</v>
      </c>
      <c r="J8" s="2" t="s">
        <v>1225</v>
      </c>
      <c r="K8" s="104" t="s">
        <v>1224</v>
      </c>
      <c r="L8" s="70">
        <f>L5</f>
        <v>0.33260000000000001</v>
      </c>
      <c r="M8" s="2" t="s">
        <v>1225</v>
      </c>
      <c r="N8" s="104" t="s">
        <v>1224</v>
      </c>
      <c r="O8" s="70">
        <f>O5</f>
        <v>0.21249999999999999</v>
      </c>
      <c r="P8" s="82" t="s">
        <v>968</v>
      </c>
      <c r="Q8" s="82" t="s">
        <v>969</v>
      </c>
      <c r="R8" s="3">
        <v>0.08</v>
      </c>
      <c r="S8" s="57" t="s">
        <v>1225</v>
      </c>
      <c r="T8" s="104" t="s">
        <v>1224</v>
      </c>
      <c r="U8" s="70">
        <f>SUM(U4)</f>
        <v>0.21429999999999999</v>
      </c>
      <c r="V8" s="2" t="s">
        <v>1225</v>
      </c>
      <c r="W8" s="104" t="s">
        <v>1224</v>
      </c>
      <c r="X8" s="70">
        <f>SUM(X4)</f>
        <v>0.21429999999999999</v>
      </c>
      <c r="Y8" s="104" t="s">
        <v>711</v>
      </c>
      <c r="Z8" s="104" t="s">
        <v>712</v>
      </c>
      <c r="AA8" s="70">
        <f>SUM(AA3:AA5)</f>
        <v>0.64800000000000002</v>
      </c>
    </row>
    <row r="9" spans="1:27" x14ac:dyDescent="0.2">
      <c r="A9" s="105" t="s">
        <v>711</v>
      </c>
      <c r="B9" s="104" t="s">
        <v>712</v>
      </c>
      <c r="C9" s="70">
        <f>SUM(C3:C4)</f>
        <v>0.32</v>
      </c>
      <c r="D9" s="57" t="s">
        <v>1225</v>
      </c>
      <c r="E9" s="104" t="s">
        <v>1224</v>
      </c>
      <c r="F9" s="70">
        <f>F7</f>
        <v>0.27029999999999998</v>
      </c>
      <c r="G9" s="2" t="s">
        <v>1225</v>
      </c>
      <c r="H9" s="104" t="s">
        <v>1224</v>
      </c>
      <c r="I9" s="70">
        <f>I6</f>
        <v>0.25</v>
      </c>
      <c r="J9" s="105" t="s">
        <v>711</v>
      </c>
      <c r="K9" s="104" t="s">
        <v>712</v>
      </c>
      <c r="L9" s="70">
        <f>SUM(L3:L4)</f>
        <v>0.31040000000000001</v>
      </c>
      <c r="M9" s="105" t="s">
        <v>711</v>
      </c>
      <c r="N9" s="104" t="s">
        <v>712</v>
      </c>
      <c r="O9" s="70">
        <f>SUM(O3:O4)</f>
        <v>0.42499999999999999</v>
      </c>
      <c r="P9" s="82" t="s">
        <v>484</v>
      </c>
      <c r="Q9" s="82" t="s">
        <v>485</v>
      </c>
      <c r="R9" s="3">
        <v>2.5000000000000001E-2</v>
      </c>
      <c r="S9" s="57" t="s">
        <v>696</v>
      </c>
      <c r="T9" s="104" t="s">
        <v>697</v>
      </c>
      <c r="U9" s="70">
        <f>SUM(U5)</f>
        <v>0.21429999999999999</v>
      </c>
      <c r="V9" s="2" t="s">
        <v>696</v>
      </c>
      <c r="W9" s="104" t="s">
        <v>697</v>
      </c>
      <c r="X9" s="70">
        <f>SUM(X5)</f>
        <v>0.21429999999999999</v>
      </c>
      <c r="Y9" s="2" t="s">
        <v>696</v>
      </c>
      <c r="Z9" s="104" t="s">
        <v>697</v>
      </c>
      <c r="AA9" s="70">
        <f>SUM(AA6)</f>
        <v>0.1759</v>
      </c>
    </row>
    <row r="10" spans="1:27" x14ac:dyDescent="0.2">
      <c r="A10" s="57" t="s">
        <v>696</v>
      </c>
      <c r="B10" s="104" t="s">
        <v>697</v>
      </c>
      <c r="C10" s="70">
        <f>C6</f>
        <v>0.3</v>
      </c>
      <c r="D10" s="105" t="s">
        <v>711</v>
      </c>
      <c r="E10" s="104" t="s">
        <v>712</v>
      </c>
      <c r="F10" s="70">
        <f>SUM(F3:F5)</f>
        <v>0.40529999999999999</v>
      </c>
      <c r="G10" s="105" t="s">
        <v>711</v>
      </c>
      <c r="H10" s="104" t="s">
        <v>712</v>
      </c>
      <c r="I10" s="70">
        <f>SUM(I3:I5)</f>
        <v>0.45</v>
      </c>
      <c r="J10" s="57" t="s">
        <v>696</v>
      </c>
      <c r="K10" s="104" t="s">
        <v>697</v>
      </c>
      <c r="L10" s="70">
        <f>L6</f>
        <v>0.29930000000000001</v>
      </c>
      <c r="M10" s="57" t="s">
        <v>696</v>
      </c>
      <c r="N10" s="104" t="s">
        <v>697</v>
      </c>
      <c r="O10" s="70">
        <f>O6</f>
        <v>0.21249999999999999</v>
      </c>
      <c r="P10" s="82" t="s">
        <v>592</v>
      </c>
      <c r="Q10" s="82" t="s">
        <v>593</v>
      </c>
      <c r="R10" s="3">
        <v>0.05</v>
      </c>
      <c r="S10" s="169"/>
      <c r="T10" s="52" t="s">
        <v>744</v>
      </c>
      <c r="U10" s="74">
        <f>SUM(U6:U9)</f>
        <v>0.99999999999999978</v>
      </c>
      <c r="V10" s="52"/>
      <c r="W10" s="52" t="s">
        <v>744</v>
      </c>
      <c r="X10" s="74">
        <f>SUM(X6:X9)</f>
        <v>0.99999999999999978</v>
      </c>
      <c r="Y10" s="52"/>
      <c r="Z10" s="52" t="s">
        <v>744</v>
      </c>
      <c r="AA10" s="74">
        <f>SUM(AA7:AA9)</f>
        <v>0.99980000000000002</v>
      </c>
    </row>
    <row r="11" spans="1:27" x14ac:dyDescent="0.2">
      <c r="A11" s="169"/>
      <c r="B11" s="52" t="s">
        <v>744</v>
      </c>
      <c r="C11" s="74">
        <f>SUM(C7:C10)</f>
        <v>1</v>
      </c>
      <c r="D11" s="57" t="s">
        <v>696</v>
      </c>
      <c r="E11" s="104" t="s">
        <v>697</v>
      </c>
      <c r="F11" s="70">
        <f>F6</f>
        <v>0.27029999999999998</v>
      </c>
      <c r="G11" s="57" t="s">
        <v>696</v>
      </c>
      <c r="H11" s="104" t="s">
        <v>697</v>
      </c>
      <c r="I11" s="70">
        <f>I7</f>
        <v>0.25</v>
      </c>
      <c r="J11" s="169"/>
      <c r="K11" s="52" t="s">
        <v>744</v>
      </c>
      <c r="L11" s="74">
        <f>SUM(L7:L10)</f>
        <v>0.99990000000000001</v>
      </c>
      <c r="M11" s="169"/>
      <c r="N11" s="52" t="s">
        <v>744</v>
      </c>
      <c r="O11" s="74">
        <f>SUM(O7:O10)</f>
        <v>1</v>
      </c>
      <c r="P11" s="82" t="s">
        <v>700</v>
      </c>
      <c r="Q11" s="82" t="s">
        <v>701</v>
      </c>
      <c r="R11" s="3">
        <v>0.125</v>
      </c>
    </row>
    <row r="12" spans="1:27" x14ac:dyDescent="0.2">
      <c r="A12" s="1"/>
      <c r="B12" s="1"/>
      <c r="C12" s="1"/>
      <c r="D12" s="169"/>
      <c r="E12" s="52" t="s">
        <v>744</v>
      </c>
      <c r="F12" s="74">
        <f>SUM(F8:F11)</f>
        <v>1</v>
      </c>
      <c r="G12" s="169"/>
      <c r="H12" s="52" t="s">
        <v>744</v>
      </c>
      <c r="I12" s="74">
        <f>SUM(I8:I11)</f>
        <v>1</v>
      </c>
      <c r="P12" s="82" t="s">
        <v>1390</v>
      </c>
      <c r="Q12" s="82" t="s">
        <v>1391</v>
      </c>
      <c r="R12" s="3">
        <v>0.15</v>
      </c>
    </row>
    <row r="13" spans="1:27" x14ac:dyDescent="0.2">
      <c r="A13" s="1"/>
      <c r="B13" s="1"/>
      <c r="C13" s="1"/>
      <c r="P13" s="82" t="s">
        <v>500</v>
      </c>
      <c r="Q13" s="82" t="s">
        <v>501</v>
      </c>
      <c r="R13" s="3">
        <v>2.5000000000000001E-2</v>
      </c>
    </row>
    <row r="14" spans="1:27" x14ac:dyDescent="0.2">
      <c r="A14" s="1"/>
      <c r="B14" s="1"/>
      <c r="C14" s="1"/>
      <c r="P14" s="82" t="s">
        <v>605</v>
      </c>
      <c r="Q14" s="82" t="s">
        <v>606</v>
      </c>
      <c r="R14" s="3">
        <v>0.05</v>
      </c>
    </row>
    <row r="15" spans="1:27" x14ac:dyDescent="0.2">
      <c r="A15" s="1"/>
      <c r="B15" s="1"/>
      <c r="C15" s="1"/>
      <c r="P15" s="82" t="s">
        <v>713</v>
      </c>
      <c r="Q15" s="82" t="s">
        <v>714</v>
      </c>
      <c r="R15" s="3">
        <v>0.125</v>
      </c>
    </row>
    <row r="16" spans="1:27" x14ac:dyDescent="0.2">
      <c r="A16" s="1"/>
      <c r="B16" s="1"/>
      <c r="C16" s="1"/>
      <c r="P16" s="82" t="s">
        <v>1392</v>
      </c>
      <c r="Q16" s="82" t="s">
        <v>1393</v>
      </c>
      <c r="R16" s="3">
        <v>0.15</v>
      </c>
    </row>
    <row r="17" spans="1:20" x14ac:dyDescent="0.2">
      <c r="A17" s="1"/>
      <c r="B17" s="1"/>
      <c r="C17" s="1"/>
      <c r="P17" s="93" t="s">
        <v>1394</v>
      </c>
      <c r="Q17" s="93" t="s">
        <v>1394</v>
      </c>
      <c r="R17" s="3">
        <v>0.125</v>
      </c>
    </row>
    <row r="18" spans="1:20" x14ac:dyDescent="0.2">
      <c r="A18" s="1"/>
      <c r="B18" s="1"/>
      <c r="C18" s="1"/>
      <c r="P18" s="126" t="s">
        <v>665</v>
      </c>
      <c r="Q18" s="153" t="s">
        <v>666</v>
      </c>
      <c r="R18" s="125">
        <f>SUM(R2)</f>
        <v>5.0000000000000001E-3</v>
      </c>
    </row>
    <row r="19" spans="1:20" ht="18.95" customHeight="1" x14ac:dyDescent="0.2">
      <c r="A19" s="1"/>
      <c r="B19" s="1"/>
      <c r="C19" s="1"/>
      <c r="P19" s="105" t="s">
        <v>1395</v>
      </c>
      <c r="Q19" s="104" t="s">
        <v>682</v>
      </c>
      <c r="R19" s="70">
        <f>SUM(R5:R8)</f>
        <v>0.16</v>
      </c>
    </row>
    <row r="20" spans="1:20" x14ac:dyDescent="0.2">
      <c r="A20" s="1"/>
      <c r="B20" s="1"/>
      <c r="C20" s="1"/>
      <c r="P20" s="105" t="s">
        <v>711</v>
      </c>
      <c r="Q20" s="104" t="s">
        <v>712</v>
      </c>
      <c r="R20" s="70">
        <f>SUM(R3:R4)</f>
        <v>0.01</v>
      </c>
      <c r="T20" s="154"/>
    </row>
    <row r="21" spans="1:20" ht="18.95" customHeight="1" x14ac:dyDescent="0.2">
      <c r="A21" s="1"/>
      <c r="B21" s="1"/>
      <c r="C21" s="1"/>
      <c r="P21" s="57" t="s">
        <v>1396</v>
      </c>
      <c r="Q21" s="104" t="s">
        <v>726</v>
      </c>
      <c r="R21" s="70">
        <f>SUM(R9:R16)</f>
        <v>0.70000000000000007</v>
      </c>
      <c r="T21" s="154"/>
    </row>
    <row r="22" spans="1:20" x14ac:dyDescent="0.2">
      <c r="A22" s="1"/>
      <c r="B22" s="1"/>
      <c r="C22" s="1"/>
      <c r="P22" s="57" t="s">
        <v>1394</v>
      </c>
      <c r="Q22" s="104" t="s">
        <v>1397</v>
      </c>
      <c r="R22" s="70">
        <f>R17</f>
        <v>0.125</v>
      </c>
    </row>
    <row r="23" spans="1:20" x14ac:dyDescent="0.2">
      <c r="A23" s="1"/>
      <c r="B23" s="1"/>
      <c r="C23" s="1"/>
      <c r="P23" s="169"/>
      <c r="Q23" s="52" t="s">
        <v>744</v>
      </c>
      <c r="R23" s="74">
        <f>SUM(R18:R22)</f>
        <v>1</v>
      </c>
    </row>
    <row r="24" spans="1:20" x14ac:dyDescent="0.2">
      <c r="A24" s="1"/>
      <c r="B24" s="1"/>
      <c r="C24" s="1"/>
    </row>
    <row r="25" spans="1:20" x14ac:dyDescent="0.2">
      <c r="A25" s="1"/>
      <c r="B25" s="1"/>
      <c r="C25" s="1"/>
    </row>
    <row r="26" spans="1:20" x14ac:dyDescent="0.2">
      <c r="A26" s="1"/>
      <c r="B26" s="1"/>
      <c r="C26" s="1"/>
    </row>
    <row r="27" spans="1:20" x14ac:dyDescent="0.2">
      <c r="A27" s="1"/>
      <c r="B27" s="1"/>
      <c r="C27" s="1"/>
    </row>
    <row r="28" spans="1:20" x14ac:dyDescent="0.2">
      <c r="A28" s="1"/>
      <c r="B28" s="1"/>
      <c r="C28" s="1"/>
    </row>
    <row r="29" spans="1:20" x14ac:dyDescent="0.2">
      <c r="A29" s="1"/>
      <c r="B29" s="1"/>
      <c r="C29" s="1"/>
    </row>
    <row r="30" spans="1:20" x14ac:dyDescent="0.2">
      <c r="A30" s="1"/>
      <c r="B30" s="1"/>
      <c r="C30" s="1"/>
    </row>
    <row r="31" spans="1:20" x14ac:dyDescent="0.2">
      <c r="A31" s="1"/>
      <c r="B31" s="1"/>
      <c r="C31" s="1"/>
    </row>
    <row r="32" spans="1:20" x14ac:dyDescent="0.2">
      <c r="A32" s="1"/>
      <c r="B32" s="1"/>
      <c r="C32" s="1"/>
    </row>
    <row r="33" spans="1:3" x14ac:dyDescent="0.2">
      <c r="A33" s="1"/>
      <c r="B33" s="1"/>
      <c r="C33" s="1"/>
    </row>
    <row r="34" spans="1:3" x14ac:dyDescent="0.2">
      <c r="A34" s="1"/>
      <c r="B34" s="1"/>
      <c r="C34" s="1"/>
    </row>
    <row r="35" spans="1:3" x14ac:dyDescent="0.2">
      <c r="A35" s="1"/>
      <c r="B35" s="1"/>
      <c r="C35" s="1"/>
    </row>
    <row r="36" spans="1:3" x14ac:dyDescent="0.2">
      <c r="A36" s="1"/>
      <c r="B36" s="1"/>
      <c r="C36" s="1"/>
    </row>
    <row r="37" spans="1:3" x14ac:dyDescent="0.2">
      <c r="A37" s="1"/>
      <c r="B37" s="1"/>
      <c r="C37" s="1"/>
    </row>
    <row r="38" spans="1:3" x14ac:dyDescent="0.2">
      <c r="A38" s="1"/>
      <c r="B38" s="1"/>
      <c r="C38" s="1"/>
    </row>
    <row r="39" spans="1:3" x14ac:dyDescent="0.2">
      <c r="A39" s="1"/>
      <c r="B39" s="1"/>
      <c r="C39" s="1"/>
    </row>
    <row r="40" spans="1:3" x14ac:dyDescent="0.2">
      <c r="A40" s="1"/>
      <c r="B40" s="1"/>
      <c r="C40" s="1"/>
    </row>
    <row r="41" spans="1:3" x14ac:dyDescent="0.2">
      <c r="A41" s="1"/>
      <c r="B41" s="1"/>
      <c r="C41" s="1"/>
    </row>
    <row r="42" spans="1:3" x14ac:dyDescent="0.2">
      <c r="A42" s="1"/>
      <c r="B42" s="1"/>
      <c r="C42" s="1"/>
    </row>
    <row r="43" spans="1:3" x14ac:dyDescent="0.2">
      <c r="A43" s="1"/>
      <c r="B43" s="1"/>
      <c r="C43" s="1"/>
    </row>
    <row r="44" spans="1:3" x14ac:dyDescent="0.2">
      <c r="A44" s="1"/>
      <c r="B44" s="1"/>
      <c r="C44" s="1"/>
    </row>
    <row r="45" spans="1:3" x14ac:dyDescent="0.2">
      <c r="A45" s="1"/>
      <c r="B45" s="1"/>
      <c r="C45" s="1"/>
    </row>
    <row r="46" spans="1:3" x14ac:dyDescent="0.2">
      <c r="A46" s="1"/>
      <c r="B46" s="1"/>
      <c r="C46" s="1"/>
    </row>
    <row r="47" spans="1:3" x14ac:dyDescent="0.2">
      <c r="A47" s="1"/>
      <c r="B47" s="1"/>
      <c r="C47" s="1"/>
    </row>
    <row r="48" spans="1:3" x14ac:dyDescent="0.2">
      <c r="A48" s="1"/>
      <c r="B48" s="1"/>
      <c r="C48" s="1"/>
    </row>
    <row r="49" spans="1:3" x14ac:dyDescent="0.2">
      <c r="A49" s="1"/>
      <c r="B49" s="1"/>
      <c r="C49" s="1"/>
    </row>
    <row r="50" spans="1:3" x14ac:dyDescent="0.2">
      <c r="A50" s="1"/>
      <c r="B50" s="1"/>
      <c r="C50" s="1"/>
    </row>
    <row r="51" spans="1:3" x14ac:dyDescent="0.2">
      <c r="A51" s="1"/>
      <c r="B51" s="1"/>
      <c r="C51" s="1"/>
    </row>
    <row r="52" spans="1:3" x14ac:dyDescent="0.2">
      <c r="A52" s="1"/>
      <c r="B52" s="1"/>
      <c r="C52" s="1"/>
    </row>
    <row r="53" spans="1:3" x14ac:dyDescent="0.2">
      <c r="A53" s="1"/>
      <c r="B53" s="1"/>
      <c r="C53" s="1"/>
    </row>
    <row r="54" spans="1:3" x14ac:dyDescent="0.2">
      <c r="A54" s="1"/>
      <c r="B54" s="1"/>
      <c r="C54" s="1"/>
    </row>
    <row r="55" spans="1:3" x14ac:dyDescent="0.2">
      <c r="A55" s="1"/>
      <c r="B55" s="1"/>
      <c r="C55" s="1"/>
    </row>
    <row r="56" spans="1:3" x14ac:dyDescent="0.2">
      <c r="A56" s="1"/>
      <c r="B56" s="1"/>
      <c r="C56" s="1"/>
    </row>
    <row r="57" spans="1:3" x14ac:dyDescent="0.2">
      <c r="A57" s="1"/>
      <c r="B57" s="1"/>
      <c r="C57" s="1"/>
    </row>
    <row r="58" spans="1:3" x14ac:dyDescent="0.2">
      <c r="A58" s="1"/>
      <c r="B58" s="1"/>
      <c r="C58" s="1"/>
    </row>
    <row r="59" spans="1:3" x14ac:dyDescent="0.2">
      <c r="A59" s="1"/>
      <c r="B59" s="1"/>
      <c r="C59" s="1"/>
    </row>
    <row r="60" spans="1:3" x14ac:dyDescent="0.2">
      <c r="A60" s="1"/>
      <c r="B60" s="1"/>
      <c r="C60" s="1"/>
    </row>
    <row r="61" spans="1:3" x14ac:dyDescent="0.2">
      <c r="A61" s="1"/>
      <c r="B61" s="1"/>
      <c r="C61" s="1"/>
    </row>
    <row r="62" spans="1:3" x14ac:dyDescent="0.2">
      <c r="A62" s="1"/>
      <c r="B62" s="1"/>
      <c r="C62" s="1"/>
    </row>
    <row r="63" spans="1:3" x14ac:dyDescent="0.2">
      <c r="A63" s="1"/>
      <c r="B63" s="1"/>
      <c r="C63" s="1"/>
    </row>
    <row r="64" spans="1:3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  <row r="67" spans="1:3" x14ac:dyDescent="0.2">
      <c r="A67" s="1"/>
      <c r="B67" s="1"/>
      <c r="C67" s="1"/>
    </row>
    <row r="68" spans="1:3" x14ac:dyDescent="0.2">
      <c r="A68" s="1"/>
      <c r="B68" s="1"/>
      <c r="C68" s="1"/>
    </row>
    <row r="69" spans="1:3" x14ac:dyDescent="0.2">
      <c r="A69" s="1"/>
      <c r="B69" s="1"/>
      <c r="C69" s="1"/>
    </row>
    <row r="70" spans="1:3" x14ac:dyDescent="0.2">
      <c r="A70" s="1"/>
      <c r="B70" s="1"/>
      <c r="C70" s="1"/>
    </row>
    <row r="71" spans="1:3" x14ac:dyDescent="0.2">
      <c r="A71" s="1"/>
      <c r="B71" s="1"/>
      <c r="C71" s="1"/>
    </row>
    <row r="72" spans="1:3" x14ac:dyDescent="0.2">
      <c r="A72" s="1"/>
      <c r="B72" s="1"/>
      <c r="C72" s="1"/>
    </row>
    <row r="73" spans="1:3" x14ac:dyDescent="0.2">
      <c r="A73" s="1"/>
      <c r="B73" s="1"/>
      <c r="C73" s="1"/>
    </row>
    <row r="74" spans="1:3" x14ac:dyDescent="0.2">
      <c r="A74" s="1"/>
      <c r="B74" s="1"/>
      <c r="C74" s="1"/>
    </row>
    <row r="75" spans="1:3" x14ac:dyDescent="0.2">
      <c r="A75" s="1"/>
      <c r="B75" s="1"/>
      <c r="C75" s="1"/>
    </row>
    <row r="76" spans="1:3" x14ac:dyDescent="0.2">
      <c r="A76" s="1"/>
      <c r="B76" s="1"/>
      <c r="C76" s="1"/>
    </row>
    <row r="77" spans="1:3" x14ac:dyDescent="0.2">
      <c r="A77" s="1"/>
      <c r="B77" s="1"/>
      <c r="C77" s="1"/>
    </row>
    <row r="78" spans="1:3" x14ac:dyDescent="0.2">
      <c r="A78" s="1"/>
      <c r="B78" s="1"/>
      <c r="C78" s="1"/>
    </row>
    <row r="79" spans="1:3" x14ac:dyDescent="0.2">
      <c r="A79" s="1"/>
      <c r="B79" s="1"/>
      <c r="C79" s="1"/>
    </row>
    <row r="80" spans="1:3" x14ac:dyDescent="0.2">
      <c r="A80" s="1"/>
      <c r="B80" s="1"/>
      <c r="C80" s="1"/>
    </row>
    <row r="81" spans="1:3" x14ac:dyDescent="0.2">
      <c r="A81" s="1"/>
      <c r="B81" s="1"/>
      <c r="C81" s="1"/>
    </row>
    <row r="82" spans="1:3" x14ac:dyDescent="0.2">
      <c r="A82" s="1"/>
      <c r="B82" s="1"/>
      <c r="C82" s="1"/>
    </row>
    <row r="83" spans="1:3" x14ac:dyDescent="0.2">
      <c r="A83" s="1"/>
      <c r="B83" s="1"/>
      <c r="C83" s="1"/>
    </row>
    <row r="84" spans="1:3" x14ac:dyDescent="0.2">
      <c r="A84" s="1"/>
      <c r="B84" s="1"/>
      <c r="C84" s="1"/>
    </row>
    <row r="85" spans="1:3" x14ac:dyDescent="0.2">
      <c r="A85" s="1"/>
      <c r="B85" s="1"/>
      <c r="C85" s="1"/>
    </row>
    <row r="86" spans="1:3" x14ac:dyDescent="0.2">
      <c r="A86" s="1"/>
      <c r="B86" s="1"/>
      <c r="C86" s="1"/>
    </row>
    <row r="87" spans="1:3" x14ac:dyDescent="0.2">
      <c r="A87" s="1"/>
      <c r="B87" s="1"/>
      <c r="C87" s="1"/>
    </row>
    <row r="88" spans="1:3" x14ac:dyDescent="0.2">
      <c r="A88" s="1"/>
      <c r="B88" s="1"/>
      <c r="C88" s="1"/>
    </row>
    <row r="89" spans="1:3" x14ac:dyDescent="0.2">
      <c r="A89" s="1"/>
      <c r="B89" s="1"/>
      <c r="C89" s="1"/>
    </row>
    <row r="90" spans="1:3" x14ac:dyDescent="0.2">
      <c r="A90" s="1"/>
      <c r="B90" s="1"/>
      <c r="C90" s="1"/>
    </row>
    <row r="91" spans="1:3" x14ac:dyDescent="0.2">
      <c r="A91" s="1"/>
      <c r="B91" s="1"/>
      <c r="C91" s="1"/>
    </row>
    <row r="92" spans="1:3" x14ac:dyDescent="0.2">
      <c r="A92" s="1"/>
      <c r="B92" s="1"/>
      <c r="C92" s="1"/>
    </row>
    <row r="93" spans="1:3" x14ac:dyDescent="0.2">
      <c r="A93" s="1"/>
      <c r="B93" s="1"/>
      <c r="C93" s="1"/>
    </row>
    <row r="94" spans="1:3" x14ac:dyDescent="0.2">
      <c r="A94" s="1"/>
      <c r="B94" s="1"/>
      <c r="C94" s="1"/>
    </row>
    <row r="95" spans="1:3" x14ac:dyDescent="0.2">
      <c r="A95" s="1"/>
      <c r="B95" s="1"/>
      <c r="C95" s="1"/>
    </row>
    <row r="96" spans="1:3" x14ac:dyDescent="0.2">
      <c r="A96" s="1"/>
      <c r="B96" s="1"/>
      <c r="C96" s="1"/>
    </row>
    <row r="97" spans="1:3" x14ac:dyDescent="0.2">
      <c r="A97" s="1"/>
      <c r="B97" s="1"/>
      <c r="C97" s="1"/>
    </row>
    <row r="98" spans="1:3" x14ac:dyDescent="0.2">
      <c r="A98" s="1"/>
      <c r="B98" s="1"/>
      <c r="C98" s="1"/>
    </row>
    <row r="99" spans="1:3" x14ac:dyDescent="0.2">
      <c r="A99" s="1"/>
      <c r="B99" s="1"/>
      <c r="C99" s="1"/>
    </row>
    <row r="100" spans="1:3" x14ac:dyDescent="0.2">
      <c r="A100" s="1"/>
      <c r="B100" s="1"/>
      <c r="C100" s="1"/>
    </row>
    <row r="101" spans="1:3" x14ac:dyDescent="0.2">
      <c r="A101" s="1"/>
      <c r="B101" s="1"/>
      <c r="C101" s="1"/>
    </row>
    <row r="102" spans="1:3" x14ac:dyDescent="0.2">
      <c r="A102" s="1"/>
      <c r="B102" s="1"/>
      <c r="C102" s="1"/>
    </row>
    <row r="103" spans="1:3" x14ac:dyDescent="0.2">
      <c r="A103" s="1"/>
      <c r="B103" s="1"/>
      <c r="C103" s="1"/>
    </row>
    <row r="104" spans="1:3" x14ac:dyDescent="0.2">
      <c r="A104" s="1"/>
      <c r="B104" s="1"/>
      <c r="C104" s="1"/>
    </row>
    <row r="105" spans="1:3" x14ac:dyDescent="0.2">
      <c r="A105" s="1"/>
      <c r="B105" s="1"/>
      <c r="C105" s="1"/>
    </row>
    <row r="106" spans="1:3" x14ac:dyDescent="0.2">
      <c r="A106" s="1"/>
      <c r="B106" s="1"/>
      <c r="C106" s="1"/>
    </row>
    <row r="107" spans="1:3" x14ac:dyDescent="0.2">
      <c r="A107" s="1"/>
      <c r="B107" s="1"/>
      <c r="C107" s="1"/>
    </row>
    <row r="108" spans="1:3" x14ac:dyDescent="0.2">
      <c r="A108" s="1"/>
      <c r="B108" s="1"/>
      <c r="C108" s="1"/>
    </row>
    <row r="109" spans="1:3" x14ac:dyDescent="0.2">
      <c r="A109" s="1"/>
      <c r="B109" s="1"/>
      <c r="C109" s="1"/>
    </row>
    <row r="110" spans="1:3" x14ac:dyDescent="0.2">
      <c r="A110" s="1"/>
      <c r="B110" s="1"/>
      <c r="C110" s="1"/>
    </row>
    <row r="111" spans="1:3" x14ac:dyDescent="0.2">
      <c r="A111" s="1"/>
      <c r="B111" s="1"/>
      <c r="C111" s="1"/>
    </row>
    <row r="112" spans="1:3" x14ac:dyDescent="0.2">
      <c r="A112" s="1"/>
      <c r="B112" s="1"/>
      <c r="C112" s="1"/>
    </row>
    <row r="113" spans="1:3" x14ac:dyDescent="0.2">
      <c r="A113" s="1"/>
      <c r="B113" s="1"/>
      <c r="C113" s="1"/>
    </row>
    <row r="114" spans="1:3" x14ac:dyDescent="0.2">
      <c r="A114" s="1"/>
      <c r="B114" s="1"/>
      <c r="C114" s="1"/>
    </row>
    <row r="115" spans="1:3" x14ac:dyDescent="0.2">
      <c r="A115" s="1"/>
      <c r="B115" s="1"/>
      <c r="C115" s="1"/>
    </row>
    <row r="116" spans="1:3" x14ac:dyDescent="0.2">
      <c r="A116" s="1"/>
      <c r="B116" s="1"/>
      <c r="C116" s="1"/>
    </row>
    <row r="117" spans="1:3" x14ac:dyDescent="0.2">
      <c r="A117" s="1"/>
      <c r="B117" s="1"/>
      <c r="C117" s="1"/>
    </row>
    <row r="118" spans="1:3" x14ac:dyDescent="0.2">
      <c r="A118" s="1"/>
      <c r="B118" s="1"/>
      <c r="C118" s="1"/>
    </row>
    <row r="119" spans="1:3" x14ac:dyDescent="0.2">
      <c r="A119" s="1"/>
      <c r="B119" s="1"/>
      <c r="C119" s="1"/>
    </row>
    <row r="120" spans="1:3" x14ac:dyDescent="0.2">
      <c r="A120" s="1"/>
      <c r="B120" s="1"/>
      <c r="C120" s="1"/>
    </row>
    <row r="121" spans="1:3" x14ac:dyDescent="0.2">
      <c r="A121" s="1"/>
      <c r="B121" s="1"/>
      <c r="C121" s="1"/>
    </row>
    <row r="122" spans="1:3" x14ac:dyDescent="0.2">
      <c r="A122" s="1"/>
      <c r="B122" s="1"/>
      <c r="C122" s="1"/>
    </row>
    <row r="123" spans="1:3" x14ac:dyDescent="0.2">
      <c r="A123" s="1"/>
      <c r="B123" s="1"/>
      <c r="C123" s="1"/>
    </row>
    <row r="124" spans="1:3" x14ac:dyDescent="0.2">
      <c r="A124" s="1"/>
      <c r="B124" s="1"/>
      <c r="C124" s="1"/>
    </row>
    <row r="125" spans="1:3" x14ac:dyDescent="0.2">
      <c r="A125" s="1"/>
      <c r="B125" s="1"/>
      <c r="C125" s="1"/>
    </row>
    <row r="126" spans="1:3" x14ac:dyDescent="0.2">
      <c r="A126" s="1"/>
      <c r="B126" s="1"/>
      <c r="C126" s="1"/>
    </row>
    <row r="127" spans="1:3" x14ac:dyDescent="0.2">
      <c r="A127" s="1"/>
      <c r="B127" s="1"/>
      <c r="C127" s="1"/>
    </row>
    <row r="128" spans="1:3" x14ac:dyDescent="0.2">
      <c r="A128" s="1"/>
      <c r="B128" s="1"/>
      <c r="C128" s="1"/>
    </row>
    <row r="129" spans="1:3" x14ac:dyDescent="0.2">
      <c r="A129" s="1"/>
      <c r="B129" s="1"/>
      <c r="C129" s="1"/>
    </row>
    <row r="130" spans="1:3" x14ac:dyDescent="0.2">
      <c r="A130" s="1"/>
      <c r="B130" s="1"/>
      <c r="C130" s="1"/>
    </row>
    <row r="131" spans="1:3" x14ac:dyDescent="0.2">
      <c r="A131" s="1"/>
      <c r="B131" s="1"/>
      <c r="C131" s="1"/>
    </row>
    <row r="132" spans="1:3" x14ac:dyDescent="0.2">
      <c r="A132" s="1"/>
      <c r="B132" s="1"/>
      <c r="C132" s="1"/>
    </row>
    <row r="133" spans="1:3" x14ac:dyDescent="0.2">
      <c r="A133" s="1"/>
      <c r="B133" s="1"/>
      <c r="C133" s="1"/>
    </row>
    <row r="134" spans="1:3" x14ac:dyDescent="0.2">
      <c r="A134" s="1"/>
      <c r="B134" s="1"/>
      <c r="C134" s="1"/>
    </row>
    <row r="135" spans="1:3" x14ac:dyDescent="0.2">
      <c r="A135" s="1"/>
      <c r="B135" s="1"/>
      <c r="C135" s="1"/>
    </row>
    <row r="136" spans="1:3" x14ac:dyDescent="0.2">
      <c r="A136" s="1"/>
      <c r="B136" s="1"/>
      <c r="C136" s="1"/>
    </row>
    <row r="137" spans="1:3" x14ac:dyDescent="0.2">
      <c r="A137" s="1"/>
      <c r="B137" s="1"/>
      <c r="C137" s="1"/>
    </row>
    <row r="138" spans="1:3" x14ac:dyDescent="0.2">
      <c r="A138" s="1"/>
      <c r="B138" s="1"/>
      <c r="C138" s="1"/>
    </row>
    <row r="139" spans="1:3" x14ac:dyDescent="0.2">
      <c r="A139" s="1"/>
      <c r="B139" s="1"/>
      <c r="C139" s="1"/>
    </row>
    <row r="140" spans="1:3" x14ac:dyDescent="0.2">
      <c r="A140" s="1"/>
      <c r="B140" s="1"/>
      <c r="C140" s="1"/>
    </row>
    <row r="141" spans="1:3" x14ac:dyDescent="0.2">
      <c r="A141" s="1"/>
      <c r="B141" s="1"/>
      <c r="C141" s="1"/>
    </row>
    <row r="142" spans="1:3" x14ac:dyDescent="0.2">
      <c r="A142" s="1"/>
      <c r="B142" s="1"/>
      <c r="C142" s="1"/>
    </row>
    <row r="143" spans="1:3" x14ac:dyDescent="0.2">
      <c r="A143" s="1"/>
      <c r="B143" s="1"/>
      <c r="C143" s="1"/>
    </row>
    <row r="144" spans="1:3" x14ac:dyDescent="0.2">
      <c r="A144" s="1"/>
      <c r="B144" s="1"/>
      <c r="C144" s="1"/>
    </row>
    <row r="145" spans="1:3" x14ac:dyDescent="0.2">
      <c r="A145" s="1"/>
      <c r="B145" s="1"/>
      <c r="C145" s="1"/>
    </row>
    <row r="146" spans="1:3" x14ac:dyDescent="0.2">
      <c r="A146" s="1"/>
      <c r="B146" s="1"/>
      <c r="C146" s="1"/>
    </row>
    <row r="147" spans="1:3" x14ac:dyDescent="0.2">
      <c r="A147" s="1"/>
      <c r="B147" s="1"/>
      <c r="C147" s="1"/>
    </row>
    <row r="148" spans="1:3" x14ac:dyDescent="0.2">
      <c r="A148" s="1"/>
      <c r="B148" s="1"/>
      <c r="C148" s="1"/>
    </row>
    <row r="149" spans="1:3" x14ac:dyDescent="0.2">
      <c r="A149" s="1"/>
      <c r="B149" s="1"/>
      <c r="C149" s="1"/>
    </row>
    <row r="150" spans="1:3" x14ac:dyDescent="0.2">
      <c r="A150" s="1"/>
      <c r="B150" s="1"/>
      <c r="C150" s="1"/>
    </row>
    <row r="151" spans="1:3" x14ac:dyDescent="0.2">
      <c r="A151" s="1"/>
      <c r="B151" s="1"/>
      <c r="C151" s="1"/>
    </row>
    <row r="152" spans="1:3" x14ac:dyDescent="0.2">
      <c r="A152" s="1"/>
      <c r="B152" s="1"/>
      <c r="C152" s="1"/>
    </row>
    <row r="153" spans="1:3" x14ac:dyDescent="0.2">
      <c r="A153" s="1"/>
      <c r="B153" s="1"/>
      <c r="C153" s="1"/>
    </row>
    <row r="154" spans="1:3" x14ac:dyDescent="0.2">
      <c r="A154" s="1"/>
      <c r="B154" s="1"/>
      <c r="C154" s="1"/>
    </row>
    <row r="155" spans="1:3" x14ac:dyDescent="0.2">
      <c r="A155" s="1"/>
      <c r="B155" s="1"/>
      <c r="C155" s="1"/>
    </row>
    <row r="156" spans="1:3" x14ac:dyDescent="0.2">
      <c r="A156" s="1"/>
      <c r="B156" s="1"/>
      <c r="C156" s="1"/>
    </row>
    <row r="157" spans="1:3" x14ac:dyDescent="0.2">
      <c r="A157" s="1"/>
      <c r="B157" s="1"/>
      <c r="C157" s="1"/>
    </row>
    <row r="158" spans="1:3" x14ac:dyDescent="0.2">
      <c r="A158" s="1"/>
      <c r="B158" s="1"/>
      <c r="C158" s="1"/>
    </row>
    <row r="159" spans="1:3" x14ac:dyDescent="0.2">
      <c r="A159" s="1"/>
      <c r="B159" s="1"/>
      <c r="C159" s="1"/>
    </row>
    <row r="160" spans="1:3" x14ac:dyDescent="0.2">
      <c r="A160" s="1"/>
      <c r="B160" s="1"/>
      <c r="C160" s="1"/>
    </row>
    <row r="161" spans="1:3" x14ac:dyDescent="0.2">
      <c r="A161" s="1"/>
      <c r="B161" s="1"/>
      <c r="C161" s="1"/>
    </row>
    <row r="162" spans="1:3" x14ac:dyDescent="0.2">
      <c r="A162" s="1"/>
      <c r="B162" s="1"/>
      <c r="C162" s="1"/>
    </row>
    <row r="163" spans="1:3" x14ac:dyDescent="0.2">
      <c r="A163" s="1"/>
      <c r="B163" s="1"/>
      <c r="C163" s="1"/>
    </row>
    <row r="164" spans="1:3" x14ac:dyDescent="0.2">
      <c r="A164" s="1"/>
      <c r="B164" s="1"/>
      <c r="C164" s="1"/>
    </row>
    <row r="165" spans="1:3" x14ac:dyDescent="0.2">
      <c r="A165" s="1"/>
      <c r="B165" s="1"/>
      <c r="C165" s="1"/>
    </row>
    <row r="166" spans="1:3" x14ac:dyDescent="0.2">
      <c r="A166" s="1"/>
      <c r="B166" s="1"/>
      <c r="C166" s="1"/>
    </row>
    <row r="167" spans="1:3" x14ac:dyDescent="0.2">
      <c r="A167" s="1"/>
      <c r="B167" s="1"/>
      <c r="C167" s="1"/>
    </row>
    <row r="168" spans="1:3" x14ac:dyDescent="0.2">
      <c r="A168" s="1"/>
      <c r="B168" s="1"/>
      <c r="C168" s="1"/>
    </row>
    <row r="169" spans="1:3" x14ac:dyDescent="0.2">
      <c r="A169" s="1"/>
      <c r="B169" s="1"/>
      <c r="C169" s="1"/>
    </row>
    <row r="170" spans="1:3" x14ac:dyDescent="0.2">
      <c r="A170" s="1"/>
      <c r="B170" s="1"/>
      <c r="C170" s="1"/>
    </row>
    <row r="171" spans="1:3" x14ac:dyDescent="0.2">
      <c r="A171" s="1"/>
      <c r="B171" s="1"/>
      <c r="C171" s="1"/>
    </row>
    <row r="172" spans="1:3" x14ac:dyDescent="0.2">
      <c r="A172" s="1"/>
      <c r="B172" s="1"/>
      <c r="C172" s="1"/>
    </row>
    <row r="173" spans="1:3" x14ac:dyDescent="0.2">
      <c r="A173" s="1"/>
      <c r="B173" s="1"/>
      <c r="C173" s="1"/>
    </row>
    <row r="174" spans="1:3" x14ac:dyDescent="0.2">
      <c r="A174" s="1"/>
      <c r="B174" s="1"/>
      <c r="C174" s="1"/>
    </row>
    <row r="175" spans="1:3" x14ac:dyDescent="0.2">
      <c r="A175" s="1"/>
      <c r="B175" s="1"/>
      <c r="C175" s="1"/>
    </row>
    <row r="176" spans="1:3" x14ac:dyDescent="0.2">
      <c r="A176" s="1"/>
      <c r="B176" s="1"/>
      <c r="C176" s="1"/>
    </row>
    <row r="177" spans="1:3" x14ac:dyDescent="0.2">
      <c r="A177" s="1"/>
      <c r="B177" s="1"/>
      <c r="C177" s="1"/>
    </row>
    <row r="178" spans="1:3" x14ac:dyDescent="0.2">
      <c r="A178" s="1"/>
      <c r="B178" s="1"/>
      <c r="C178" s="1"/>
    </row>
    <row r="179" spans="1:3" x14ac:dyDescent="0.2">
      <c r="A179" s="1"/>
      <c r="B179" s="1"/>
      <c r="C179" s="1"/>
    </row>
    <row r="180" spans="1:3" x14ac:dyDescent="0.2">
      <c r="A180" s="1"/>
      <c r="B180" s="1"/>
      <c r="C180" s="1"/>
    </row>
    <row r="181" spans="1:3" x14ac:dyDescent="0.2">
      <c r="A181" s="1"/>
      <c r="B181" s="1"/>
      <c r="C181" s="1"/>
    </row>
    <row r="182" spans="1:3" x14ac:dyDescent="0.2">
      <c r="A182" s="1"/>
      <c r="B182" s="1"/>
      <c r="C182" s="1"/>
    </row>
    <row r="183" spans="1:3" x14ac:dyDescent="0.2">
      <c r="A183" s="1"/>
      <c r="B183" s="1"/>
      <c r="C183" s="1"/>
    </row>
    <row r="184" spans="1:3" x14ac:dyDescent="0.2">
      <c r="A184" s="1"/>
      <c r="B184" s="1"/>
      <c r="C184" s="1"/>
    </row>
    <row r="185" spans="1:3" x14ac:dyDescent="0.2">
      <c r="A185" s="1"/>
      <c r="B185" s="1"/>
      <c r="C185" s="1"/>
    </row>
    <row r="186" spans="1:3" x14ac:dyDescent="0.2">
      <c r="A186" s="1"/>
      <c r="B186" s="1"/>
      <c r="C186" s="1"/>
    </row>
    <row r="187" spans="1:3" x14ac:dyDescent="0.2">
      <c r="A187" s="1"/>
      <c r="B187" s="1"/>
      <c r="C187" s="1"/>
    </row>
    <row r="188" spans="1:3" x14ac:dyDescent="0.2">
      <c r="A188" s="1"/>
      <c r="B188" s="1"/>
      <c r="C188" s="1"/>
    </row>
    <row r="189" spans="1:3" x14ac:dyDescent="0.2">
      <c r="A189" s="1"/>
      <c r="B189" s="1"/>
      <c r="C189" s="1"/>
    </row>
    <row r="190" spans="1:3" x14ac:dyDescent="0.2">
      <c r="A190" s="1"/>
      <c r="B190" s="1"/>
      <c r="C190" s="1"/>
    </row>
    <row r="191" spans="1:3" x14ac:dyDescent="0.2">
      <c r="A191" s="1"/>
      <c r="B191" s="1"/>
      <c r="C191" s="1"/>
    </row>
    <row r="192" spans="1:3" x14ac:dyDescent="0.2">
      <c r="A192" s="1"/>
      <c r="B192" s="1"/>
      <c r="C192" s="1"/>
    </row>
    <row r="193" spans="1:3" x14ac:dyDescent="0.2">
      <c r="A193" s="1"/>
      <c r="B193" s="1"/>
      <c r="C193" s="1"/>
    </row>
    <row r="194" spans="1:3" x14ac:dyDescent="0.2">
      <c r="A194" s="1"/>
      <c r="B194" s="1"/>
      <c r="C194" s="1"/>
    </row>
    <row r="195" spans="1:3" x14ac:dyDescent="0.2">
      <c r="A195" s="1"/>
      <c r="B195" s="1"/>
      <c r="C195" s="1"/>
    </row>
    <row r="196" spans="1:3" x14ac:dyDescent="0.2">
      <c r="A196" s="1"/>
      <c r="B196" s="1"/>
      <c r="C196" s="1"/>
    </row>
    <row r="197" spans="1:3" x14ac:dyDescent="0.2">
      <c r="A197" s="1"/>
      <c r="B197" s="1"/>
      <c r="C197" s="1"/>
    </row>
    <row r="198" spans="1:3" x14ac:dyDescent="0.2">
      <c r="A198" s="1"/>
      <c r="B198" s="1"/>
      <c r="C198" s="1"/>
    </row>
    <row r="199" spans="1:3" x14ac:dyDescent="0.2">
      <c r="A199" s="1"/>
      <c r="B199" s="1"/>
      <c r="C199" s="1"/>
    </row>
    <row r="200" spans="1:3" x14ac:dyDescent="0.2">
      <c r="A200" s="1"/>
      <c r="B200" s="1"/>
      <c r="C200" s="1"/>
    </row>
    <row r="201" spans="1:3" x14ac:dyDescent="0.2">
      <c r="A201" s="1"/>
      <c r="B201" s="1"/>
      <c r="C201" s="1"/>
    </row>
  </sheetData>
  <mergeCells count="9">
    <mergeCell ref="A1:B1"/>
    <mergeCell ref="D1:E1"/>
    <mergeCell ref="J1:K1"/>
    <mergeCell ref="S1:T1"/>
    <mergeCell ref="Y1:Z1"/>
    <mergeCell ref="V1:W1"/>
    <mergeCell ref="P1:Q1"/>
    <mergeCell ref="M1:N1"/>
    <mergeCell ref="G1:H1"/>
  </mergeCells>
  <phoneticPr fontId="6" type="noConversion"/>
  <pageMargins left="0.7" right="0.7" top="0.75" bottom="0.75" header="0.3" footer="0.3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9"/>
  <sheetViews>
    <sheetView workbookViewId="0">
      <pane ySplit="1" topLeftCell="A2" activePane="bottomLeft" state="frozen"/>
      <selection pane="bottomLeft" sqref="A1:B1"/>
    </sheetView>
  </sheetViews>
  <sheetFormatPr defaultColWidth="14" defaultRowHeight="12.75" x14ac:dyDescent="0.2"/>
  <cols>
    <col min="1" max="11" width="17" customWidth="1"/>
    <col min="12" max="12" width="14" customWidth="1"/>
    <col min="13" max="26" width="17" customWidth="1"/>
    <col min="27" max="29" width="16" customWidth="1"/>
  </cols>
  <sheetData>
    <row r="1" spans="1:45" x14ac:dyDescent="0.2">
      <c r="A1" s="212">
        <v>45853</v>
      </c>
      <c r="B1" s="212"/>
      <c r="C1" s="155" t="s">
        <v>0</v>
      </c>
      <c r="D1" s="212">
        <v>45818</v>
      </c>
      <c r="E1" s="212"/>
      <c r="F1" s="146" t="s">
        <v>0</v>
      </c>
      <c r="G1" s="212">
        <v>45776</v>
      </c>
      <c r="H1" s="212"/>
      <c r="I1" s="146" t="s">
        <v>0</v>
      </c>
      <c r="J1" s="212">
        <v>45708</v>
      </c>
      <c r="K1" s="212"/>
      <c r="L1" s="146" t="s">
        <v>0</v>
      </c>
      <c r="M1" s="212">
        <v>45680</v>
      </c>
      <c r="N1" s="212"/>
      <c r="O1" s="146" t="s">
        <v>0</v>
      </c>
      <c r="P1" s="155">
        <v>45650</v>
      </c>
      <c r="Q1" s="146" t="s">
        <v>0</v>
      </c>
      <c r="R1" s="212">
        <v>45601</v>
      </c>
      <c r="S1" s="212"/>
      <c r="T1" s="146" t="s">
        <v>0</v>
      </c>
      <c r="U1" s="212">
        <v>45565</v>
      </c>
      <c r="V1" s="212"/>
      <c r="W1" s="146" t="s">
        <v>0</v>
      </c>
      <c r="X1" s="211">
        <v>45531</v>
      </c>
      <c r="Y1" s="211"/>
      <c r="Z1" s="149" t="s">
        <v>0</v>
      </c>
      <c r="AA1" s="211">
        <v>45496</v>
      </c>
      <c r="AB1" s="211"/>
      <c r="AC1" s="149" t="s">
        <v>0</v>
      </c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</row>
    <row r="2" spans="1:45" x14ac:dyDescent="0.2">
      <c r="A2" s="180" t="s">
        <v>1398</v>
      </c>
      <c r="B2" s="96" t="s">
        <v>1399</v>
      </c>
      <c r="C2" s="3">
        <v>0.15</v>
      </c>
      <c r="D2" s="180" t="s">
        <v>1398</v>
      </c>
      <c r="E2" s="96" t="s">
        <v>1399</v>
      </c>
      <c r="F2" s="3">
        <v>0.15</v>
      </c>
      <c r="G2" s="180" t="s">
        <v>1398</v>
      </c>
      <c r="H2" s="96" t="s">
        <v>1399</v>
      </c>
      <c r="I2" s="3">
        <v>0.15</v>
      </c>
      <c r="J2" s="97" t="s">
        <v>17</v>
      </c>
      <c r="K2" s="96" t="s">
        <v>18</v>
      </c>
      <c r="L2" s="182">
        <v>8.6999999999999994E-2</v>
      </c>
      <c r="M2" s="97" t="s">
        <v>15</v>
      </c>
      <c r="N2" s="96" t="s">
        <v>16</v>
      </c>
      <c r="O2" s="3">
        <v>8.6999999999999994E-2</v>
      </c>
      <c r="P2" s="5" t="s">
        <v>1159</v>
      </c>
      <c r="Q2" s="3">
        <v>0.21429999999999999</v>
      </c>
      <c r="R2" s="97" t="s">
        <v>1400</v>
      </c>
      <c r="S2" s="96" t="s">
        <v>1159</v>
      </c>
      <c r="T2" s="46">
        <v>0.21429999999999999</v>
      </c>
      <c r="U2" s="96" t="s">
        <v>1305</v>
      </c>
      <c r="V2" s="96" t="s">
        <v>1306</v>
      </c>
      <c r="W2" s="3">
        <v>0.23530000000000001</v>
      </c>
      <c r="X2" s="13" t="s">
        <v>1307</v>
      </c>
      <c r="Y2" s="11" t="s">
        <v>1308</v>
      </c>
      <c r="Z2" s="141">
        <v>0.23080000000000001</v>
      </c>
      <c r="AA2" s="11" t="s">
        <v>1307</v>
      </c>
      <c r="AB2" s="11" t="s">
        <v>1308</v>
      </c>
      <c r="AC2" s="141">
        <v>0.23080000000000001</v>
      </c>
    </row>
    <row r="3" spans="1:45" x14ac:dyDescent="0.2">
      <c r="A3" s="180" t="s">
        <v>1401</v>
      </c>
      <c r="B3" s="82" t="s">
        <v>1402</v>
      </c>
      <c r="C3" s="3">
        <v>0.21249999999999999</v>
      </c>
      <c r="D3" s="180" t="s">
        <v>1401</v>
      </c>
      <c r="E3" s="82" t="s">
        <v>1402</v>
      </c>
      <c r="F3" s="3">
        <v>0.21249999999999999</v>
      </c>
      <c r="G3" s="180" t="s">
        <v>1401</v>
      </c>
      <c r="H3" s="82" t="s">
        <v>1402</v>
      </c>
      <c r="I3" s="3">
        <v>0.2</v>
      </c>
      <c r="J3" s="83" t="s">
        <v>215</v>
      </c>
      <c r="K3" s="82" t="s">
        <v>216</v>
      </c>
      <c r="L3" s="182">
        <v>0.33679999999999999</v>
      </c>
      <c r="M3" s="97" t="s">
        <v>273</v>
      </c>
      <c r="N3" s="96" t="s">
        <v>274</v>
      </c>
      <c r="O3" s="181">
        <v>0.33660000000000001</v>
      </c>
      <c r="P3" s="183" t="s">
        <v>1105</v>
      </c>
      <c r="Q3" s="3">
        <v>0.35709999999999997</v>
      </c>
      <c r="R3" s="97" t="s">
        <v>1403</v>
      </c>
      <c r="S3" s="96" t="s">
        <v>1105</v>
      </c>
      <c r="T3" s="46">
        <v>0.35709999999999997</v>
      </c>
      <c r="U3" s="96" t="s">
        <v>1322</v>
      </c>
      <c r="V3" s="96" t="s">
        <v>1323</v>
      </c>
      <c r="W3" s="3">
        <v>0.27450000000000002</v>
      </c>
      <c r="X3" s="13" t="s">
        <v>1404</v>
      </c>
      <c r="Y3" s="11" t="s">
        <v>1405</v>
      </c>
      <c r="Z3" s="141">
        <v>0.3846</v>
      </c>
      <c r="AA3" s="11" t="s">
        <v>1404</v>
      </c>
      <c r="AB3" s="11" t="s">
        <v>1405</v>
      </c>
      <c r="AC3" s="141">
        <v>0.3846</v>
      </c>
    </row>
    <row r="4" spans="1:45" x14ac:dyDescent="0.2">
      <c r="A4" s="180" t="s">
        <v>1406</v>
      </c>
      <c r="B4" s="82" t="s">
        <v>1407</v>
      </c>
      <c r="C4" s="3">
        <v>0.21249999999999999</v>
      </c>
      <c r="D4" s="180" t="s">
        <v>1406</v>
      </c>
      <c r="E4" s="82" t="s">
        <v>1407</v>
      </c>
      <c r="F4" s="3">
        <v>0.21249999999999999</v>
      </c>
      <c r="G4" s="180" t="s">
        <v>1406</v>
      </c>
      <c r="H4" s="82" t="s">
        <v>1407</v>
      </c>
      <c r="I4" s="3">
        <v>0.2</v>
      </c>
      <c r="J4" s="83" t="s">
        <v>233</v>
      </c>
      <c r="K4" s="82" t="s">
        <v>234</v>
      </c>
      <c r="L4" s="182">
        <v>0.33679999999999999</v>
      </c>
      <c r="M4" s="97" t="s">
        <v>291</v>
      </c>
      <c r="N4" s="96" t="s">
        <v>292</v>
      </c>
      <c r="O4" s="181">
        <v>0.33660000000000001</v>
      </c>
      <c r="P4" s="183" t="s">
        <v>1178</v>
      </c>
      <c r="Q4" s="3">
        <v>0.21429999999999999</v>
      </c>
      <c r="R4" s="97" t="s">
        <v>1177</v>
      </c>
      <c r="S4" s="96" t="s">
        <v>1178</v>
      </c>
      <c r="T4" s="46">
        <v>0.21429999999999999</v>
      </c>
      <c r="U4" s="96" t="s">
        <v>1339</v>
      </c>
      <c r="V4" s="96" t="s">
        <v>1340</v>
      </c>
      <c r="W4" s="3">
        <v>0.25490000000000002</v>
      </c>
      <c r="X4" s="13" t="s">
        <v>1408</v>
      </c>
      <c r="Y4" s="11" t="s">
        <v>1409</v>
      </c>
      <c r="Z4" s="141">
        <v>0.3846</v>
      </c>
      <c r="AA4" s="11" t="s">
        <v>1408</v>
      </c>
      <c r="AB4" s="11" t="s">
        <v>1409</v>
      </c>
      <c r="AC4" s="141">
        <v>0.3846</v>
      </c>
    </row>
    <row r="5" spans="1:45" x14ac:dyDescent="0.2">
      <c r="A5" s="180" t="s">
        <v>1169</v>
      </c>
      <c r="B5" s="9" t="s">
        <v>1170</v>
      </c>
      <c r="C5" s="3">
        <v>0.21249999999999999</v>
      </c>
      <c r="D5" s="180" t="s">
        <v>1169</v>
      </c>
      <c r="E5" s="9" t="s">
        <v>1170</v>
      </c>
      <c r="F5" s="3">
        <v>0.21249999999999999</v>
      </c>
      <c r="G5" s="180" t="s">
        <v>1169</v>
      </c>
      <c r="H5" s="9" t="s">
        <v>1170</v>
      </c>
      <c r="I5" s="3">
        <v>0.2</v>
      </c>
      <c r="J5" s="83" t="s">
        <v>1173</v>
      </c>
      <c r="K5" s="82" t="s">
        <v>1174</v>
      </c>
      <c r="L5" s="182">
        <v>0.18940000000000001</v>
      </c>
      <c r="M5" s="97" t="s">
        <v>1175</v>
      </c>
      <c r="N5" s="96" t="s">
        <v>1176</v>
      </c>
      <c r="O5" s="181">
        <v>0.1893</v>
      </c>
      <c r="P5" s="183" t="s">
        <v>1213</v>
      </c>
      <c r="Q5" s="3">
        <v>0.21429999999999999</v>
      </c>
      <c r="R5" s="97" t="s">
        <v>1212</v>
      </c>
      <c r="S5" s="96" t="s">
        <v>1213</v>
      </c>
      <c r="T5" s="46">
        <v>0.21429999999999999</v>
      </c>
      <c r="U5" s="96" t="s">
        <v>1356</v>
      </c>
      <c r="V5" s="96" t="s">
        <v>1410</v>
      </c>
      <c r="W5" s="3">
        <v>0.23530000000000001</v>
      </c>
      <c r="X5" s="105" t="s">
        <v>1362</v>
      </c>
      <c r="Y5" s="104" t="s">
        <v>1363</v>
      </c>
      <c r="Z5" s="70">
        <f>SUM(Z2)</f>
        <v>0.23080000000000001</v>
      </c>
      <c r="AA5" s="104" t="s">
        <v>1362</v>
      </c>
      <c r="AB5" s="104" t="s">
        <v>1363</v>
      </c>
      <c r="AC5" s="91">
        <v>0.23080000000000001</v>
      </c>
    </row>
    <row r="6" spans="1:45" x14ac:dyDescent="0.2">
      <c r="A6" s="180" t="s">
        <v>69</v>
      </c>
      <c r="B6" s="9" t="s">
        <v>70</v>
      </c>
      <c r="C6" s="3">
        <v>0.21249999999999999</v>
      </c>
      <c r="D6" s="180" t="s">
        <v>69</v>
      </c>
      <c r="E6" s="9" t="s">
        <v>70</v>
      </c>
      <c r="F6" s="3">
        <v>0.21249999999999999</v>
      </c>
      <c r="G6" s="180" t="s">
        <v>69</v>
      </c>
      <c r="H6" s="9" t="s">
        <v>70</v>
      </c>
      <c r="I6" s="3">
        <v>0.2</v>
      </c>
      <c r="J6" s="83" t="s">
        <v>165</v>
      </c>
      <c r="K6" s="82" t="s">
        <v>166</v>
      </c>
      <c r="L6" s="182">
        <v>0.05</v>
      </c>
      <c r="M6" s="97" t="s">
        <v>121</v>
      </c>
      <c r="N6" s="96" t="s">
        <v>1411</v>
      </c>
      <c r="O6" s="181">
        <v>5.0500000000000003E-2</v>
      </c>
      <c r="P6" s="153" t="s">
        <v>666</v>
      </c>
      <c r="Q6" s="125">
        <f>SUM(Q2)</f>
        <v>0.21429999999999999</v>
      </c>
      <c r="R6" s="153" t="s">
        <v>665</v>
      </c>
      <c r="S6" s="153" t="s">
        <v>666</v>
      </c>
      <c r="T6" s="125">
        <f>SUM(T2)</f>
        <v>0.21429999999999999</v>
      </c>
      <c r="U6" s="153" t="s">
        <v>1362</v>
      </c>
      <c r="V6" s="153" t="s">
        <v>1363</v>
      </c>
      <c r="W6" s="125">
        <f>SUM(W2)</f>
        <v>0.23530000000000001</v>
      </c>
      <c r="X6" s="104" t="s">
        <v>1365</v>
      </c>
      <c r="Y6" s="104" t="s">
        <v>1366</v>
      </c>
      <c r="Z6" s="70">
        <f>SUM(Z3:Z4)</f>
        <v>0.76919999999999999</v>
      </c>
      <c r="AA6" s="104" t="s">
        <v>1365</v>
      </c>
      <c r="AB6" s="104" t="s">
        <v>1366</v>
      </c>
      <c r="AC6" s="91">
        <v>0.76919999999999999</v>
      </c>
    </row>
    <row r="7" spans="1:45" x14ac:dyDescent="0.2">
      <c r="A7" s="153" t="s">
        <v>665</v>
      </c>
      <c r="B7" s="153" t="s">
        <v>666</v>
      </c>
      <c r="C7" s="125">
        <f>SUM(C2)</f>
        <v>0.15</v>
      </c>
      <c r="D7" s="153" t="s">
        <v>665</v>
      </c>
      <c r="E7" s="153" t="s">
        <v>666</v>
      </c>
      <c r="F7" s="125">
        <f>SUM(F2)</f>
        <v>0.15</v>
      </c>
      <c r="G7" s="5" t="s">
        <v>1412</v>
      </c>
      <c r="H7" s="82" t="s">
        <v>1412</v>
      </c>
      <c r="I7" s="3">
        <v>0.05</v>
      </c>
      <c r="J7" s="126" t="s">
        <v>665</v>
      </c>
      <c r="K7" s="153" t="s">
        <v>666</v>
      </c>
      <c r="L7" s="125">
        <f>SUM(L2)</f>
        <v>8.6999999999999994E-2</v>
      </c>
      <c r="M7" s="153" t="s">
        <v>665</v>
      </c>
      <c r="N7" s="153" t="s">
        <v>666</v>
      </c>
      <c r="O7" s="125">
        <f>SUM(O2)</f>
        <v>8.6999999999999994E-2</v>
      </c>
      <c r="P7" s="104" t="s">
        <v>712</v>
      </c>
      <c r="Q7" s="70">
        <f>SUM(Q3)</f>
        <v>0.35709999999999997</v>
      </c>
      <c r="R7" s="104" t="s">
        <v>711</v>
      </c>
      <c r="S7" s="104" t="s">
        <v>712</v>
      </c>
      <c r="T7" s="70">
        <f>SUM(T3)</f>
        <v>0.35709999999999997</v>
      </c>
      <c r="U7" s="104" t="s">
        <v>1365</v>
      </c>
      <c r="V7" s="104" t="s">
        <v>1366</v>
      </c>
      <c r="W7" s="70">
        <f>SUM(W3:W4)</f>
        <v>0.52940000000000009</v>
      </c>
      <c r="X7" s="52"/>
      <c r="Y7" s="52" t="s">
        <v>744</v>
      </c>
      <c r="Z7" s="74">
        <f>SUM(Z5:Z6)</f>
        <v>1</v>
      </c>
      <c r="AA7" s="52"/>
      <c r="AB7" s="52" t="s">
        <v>744</v>
      </c>
      <c r="AC7" s="74">
        <f>SUM(AC5:AC6)</f>
        <v>1</v>
      </c>
    </row>
    <row r="8" spans="1:45" x14ac:dyDescent="0.2">
      <c r="A8" s="104" t="s">
        <v>711</v>
      </c>
      <c r="B8" s="104" t="s">
        <v>712</v>
      </c>
      <c r="C8" s="70">
        <f>SUM(C3:C4)</f>
        <v>0.42499999999999999</v>
      </c>
      <c r="D8" s="104" t="s">
        <v>711</v>
      </c>
      <c r="E8" s="104" t="s">
        <v>712</v>
      </c>
      <c r="F8" s="70">
        <f>SUM(F3:F4)</f>
        <v>0.42499999999999999</v>
      </c>
      <c r="G8" s="153" t="s">
        <v>665</v>
      </c>
      <c r="H8" s="153" t="s">
        <v>666</v>
      </c>
      <c r="I8" s="125">
        <f>SUM(I2)</f>
        <v>0.15</v>
      </c>
      <c r="J8" s="104" t="s">
        <v>711</v>
      </c>
      <c r="K8" s="104" t="s">
        <v>712</v>
      </c>
      <c r="L8" s="70">
        <f>SUM(L3:L4)</f>
        <v>0.67359999999999998</v>
      </c>
      <c r="M8" s="104" t="s">
        <v>711</v>
      </c>
      <c r="N8" s="104" t="s">
        <v>712</v>
      </c>
      <c r="O8" s="70">
        <f>SUM(O3:O4)</f>
        <v>0.67320000000000002</v>
      </c>
      <c r="P8" s="104" t="s">
        <v>1224</v>
      </c>
      <c r="Q8" s="70">
        <f>SUM(Q4)</f>
        <v>0.21429999999999999</v>
      </c>
      <c r="R8" s="2" t="s">
        <v>1225</v>
      </c>
      <c r="S8" s="104" t="s">
        <v>1224</v>
      </c>
      <c r="T8" s="70">
        <f>SUM(T4)</f>
        <v>0.21429999999999999</v>
      </c>
      <c r="U8" s="2" t="s">
        <v>1368</v>
      </c>
      <c r="V8" s="104" t="s">
        <v>1369</v>
      </c>
      <c r="W8" s="70">
        <f>SUM(W5)</f>
        <v>0.23530000000000001</v>
      </c>
    </row>
    <row r="9" spans="1:45" x14ac:dyDescent="0.2">
      <c r="A9" s="2" t="s">
        <v>1225</v>
      </c>
      <c r="B9" s="104" t="s">
        <v>1224</v>
      </c>
      <c r="C9" s="70">
        <f>SUM(C5)</f>
        <v>0.21249999999999999</v>
      </c>
      <c r="D9" s="2" t="s">
        <v>1225</v>
      </c>
      <c r="E9" s="104" t="s">
        <v>1224</v>
      </c>
      <c r="F9" s="70">
        <f>SUM(F5)</f>
        <v>0.21249999999999999</v>
      </c>
      <c r="G9" s="104" t="s">
        <v>711</v>
      </c>
      <c r="H9" s="104" t="s">
        <v>712</v>
      </c>
      <c r="I9" s="70">
        <f>SUM(I3:I4)</f>
        <v>0.4</v>
      </c>
      <c r="J9" s="2" t="s">
        <v>1225</v>
      </c>
      <c r="K9" s="104" t="s">
        <v>1224</v>
      </c>
      <c r="L9" s="70">
        <f>SUM(L5)</f>
        <v>0.18940000000000001</v>
      </c>
      <c r="M9" s="2" t="s">
        <v>1225</v>
      </c>
      <c r="N9" s="104" t="s">
        <v>1224</v>
      </c>
      <c r="O9" s="70">
        <f>SUM(O5)</f>
        <v>0.1893</v>
      </c>
      <c r="P9" s="104" t="s">
        <v>697</v>
      </c>
      <c r="Q9" s="70">
        <f>SUM(Q5)</f>
        <v>0.21429999999999999</v>
      </c>
      <c r="R9" s="2" t="s">
        <v>696</v>
      </c>
      <c r="S9" s="104" t="s">
        <v>697</v>
      </c>
      <c r="T9" s="70">
        <f>SUM(T5)</f>
        <v>0.21429999999999999</v>
      </c>
      <c r="U9" s="52"/>
      <c r="V9" s="52" t="s">
        <v>744</v>
      </c>
      <c r="W9" s="74">
        <f>SUM(W6:W8)</f>
        <v>1.0000000000000002</v>
      </c>
    </row>
    <row r="10" spans="1:45" x14ac:dyDescent="0.2">
      <c r="A10" s="2" t="s">
        <v>696</v>
      </c>
      <c r="B10" s="104" t="s">
        <v>697</v>
      </c>
      <c r="C10" s="70">
        <f>SUM(C6)</f>
        <v>0.21249999999999999</v>
      </c>
      <c r="D10" s="2" t="s">
        <v>696</v>
      </c>
      <c r="E10" s="104" t="s">
        <v>697</v>
      </c>
      <c r="F10" s="70">
        <f>SUM(F6)</f>
        <v>0.21249999999999999</v>
      </c>
      <c r="G10" s="2" t="s">
        <v>1225</v>
      </c>
      <c r="H10" s="104" t="s">
        <v>1224</v>
      </c>
      <c r="I10" s="70">
        <f>SUM(I5)</f>
        <v>0.2</v>
      </c>
      <c r="J10" s="2" t="s">
        <v>696</v>
      </c>
      <c r="K10" s="104" t="s">
        <v>697</v>
      </c>
      <c r="L10" s="70">
        <f>SUM(L6)</f>
        <v>0.05</v>
      </c>
      <c r="M10" s="2" t="s">
        <v>696</v>
      </c>
      <c r="N10" s="104" t="s">
        <v>697</v>
      </c>
      <c r="O10" s="70">
        <f>SUM(O6)</f>
        <v>5.0500000000000003E-2</v>
      </c>
      <c r="P10" s="52" t="s">
        <v>744</v>
      </c>
      <c r="Q10" s="74">
        <f>SUM(Q6:Q9)</f>
        <v>0.99999999999999978</v>
      </c>
      <c r="R10" s="52"/>
      <c r="S10" s="52" t="s">
        <v>744</v>
      </c>
      <c r="T10" s="74">
        <f>SUM(T6:T9)</f>
        <v>0.99999999999999978</v>
      </c>
    </row>
    <row r="11" spans="1:45" x14ac:dyDescent="0.2">
      <c r="A11" s="52"/>
      <c r="B11" s="52" t="s">
        <v>744</v>
      </c>
      <c r="C11" s="74">
        <f>SUM(C7:C10)</f>
        <v>1</v>
      </c>
      <c r="D11" s="52"/>
      <c r="E11" s="52" t="s">
        <v>744</v>
      </c>
      <c r="F11" s="74">
        <f>SUM(F7:F10)</f>
        <v>1</v>
      </c>
      <c r="G11" s="2" t="s">
        <v>696</v>
      </c>
      <c r="H11" s="104" t="s">
        <v>697</v>
      </c>
      <c r="I11" s="70">
        <f>SUM(I6)</f>
        <v>0.2</v>
      </c>
      <c r="J11" s="52"/>
      <c r="K11" s="52" t="s">
        <v>744</v>
      </c>
      <c r="L11" s="74">
        <f>SUM(L7:L10)</f>
        <v>1</v>
      </c>
      <c r="M11" s="52"/>
      <c r="N11" s="52" t="s">
        <v>744</v>
      </c>
      <c r="O11" s="74">
        <f>SUM(O7:O10)</f>
        <v>1</v>
      </c>
    </row>
    <row r="12" spans="1:45" ht="18.95" customHeight="1" x14ac:dyDescent="0.2">
      <c r="A12" s="154" t="s">
        <v>1413</v>
      </c>
      <c r="D12" s="154" t="s">
        <v>1414</v>
      </c>
      <c r="G12" s="2" t="s">
        <v>1412</v>
      </c>
      <c r="H12" s="2" t="s">
        <v>1415</v>
      </c>
      <c r="I12" s="74">
        <f>I7</f>
        <v>0.05</v>
      </c>
    </row>
    <row r="13" spans="1:45" x14ac:dyDescent="0.2">
      <c r="G13" s="52"/>
      <c r="H13" s="52" t="s">
        <v>744</v>
      </c>
      <c r="I13" s="74">
        <f>SUM(I8:I12)</f>
        <v>1</v>
      </c>
    </row>
    <row r="19" spans="13:13" x14ac:dyDescent="0.2">
      <c r="M19" s="154"/>
    </row>
  </sheetData>
  <mergeCells count="9">
    <mergeCell ref="AA1:AB1"/>
    <mergeCell ref="U1:V1"/>
    <mergeCell ref="M1:N1"/>
    <mergeCell ref="G1:H1"/>
    <mergeCell ref="A1:B1"/>
    <mergeCell ref="D1:E1"/>
    <mergeCell ref="J1:K1"/>
    <mergeCell ref="R1:S1"/>
    <mergeCell ref="X1:Y1"/>
  </mergeCells>
  <phoneticPr fontId="6" type="noConversion"/>
  <pageMargins left="0.7" right="0.7" top="0.75" bottom="0.75" header="0.3" footer="0.3"/>
  <pageSetup paperSize="9" orientation="portrait"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29"/>
  <sheetViews>
    <sheetView workbookViewId="0">
      <selection sqref="A1:B1"/>
    </sheetView>
  </sheetViews>
  <sheetFormatPr defaultColWidth="14" defaultRowHeight="12.75" x14ac:dyDescent="0.2"/>
  <cols>
    <col min="1" max="19" width="24" customWidth="1"/>
    <col min="20" max="20" width="20" customWidth="1"/>
    <col min="21" max="26" width="17" customWidth="1"/>
    <col min="27" max="27" width="16" customWidth="1"/>
    <col min="28" max="28" width="17" customWidth="1"/>
    <col min="29" max="30" width="14" customWidth="1"/>
  </cols>
  <sheetData>
    <row r="1" spans="1:32" x14ac:dyDescent="0.2">
      <c r="A1" s="207">
        <v>46098</v>
      </c>
      <c r="B1" s="207"/>
      <c r="C1" s="146" t="s">
        <v>0</v>
      </c>
      <c r="D1" s="207">
        <v>46063</v>
      </c>
      <c r="E1" s="207"/>
      <c r="F1" s="146" t="s">
        <v>0</v>
      </c>
      <c r="G1" s="207">
        <v>46037</v>
      </c>
      <c r="H1" s="207"/>
      <c r="I1" s="146" t="s">
        <v>0</v>
      </c>
      <c r="J1" s="207">
        <v>46000</v>
      </c>
      <c r="K1" s="207"/>
      <c r="L1" s="146" t="s">
        <v>0</v>
      </c>
      <c r="M1" s="207">
        <v>45960</v>
      </c>
      <c r="N1" s="207"/>
      <c r="O1" s="146" t="s">
        <v>0</v>
      </c>
      <c r="P1" s="207">
        <v>45930</v>
      </c>
      <c r="Q1" s="207"/>
      <c r="R1" s="146" t="s">
        <v>0</v>
      </c>
      <c r="S1" s="207">
        <v>45818</v>
      </c>
      <c r="T1" s="207"/>
      <c r="U1" s="146" t="s">
        <v>0</v>
      </c>
      <c r="V1" s="207">
        <v>45741</v>
      </c>
      <c r="W1" s="207"/>
      <c r="X1" s="146" t="s">
        <v>0</v>
      </c>
      <c r="Y1" s="207">
        <v>45708</v>
      </c>
      <c r="Z1" s="212"/>
      <c r="AA1" s="146" t="s">
        <v>0</v>
      </c>
      <c r="AB1" s="212">
        <v>45680</v>
      </c>
      <c r="AC1" s="212"/>
      <c r="AD1" s="146" t="s">
        <v>0</v>
      </c>
      <c r="AE1" s="155">
        <v>45650</v>
      </c>
      <c r="AF1" s="146" t="s">
        <v>0</v>
      </c>
    </row>
    <row r="2" spans="1:32" ht="25.5" x14ac:dyDescent="0.2">
      <c r="A2" s="187" t="s">
        <v>1153</v>
      </c>
      <c r="B2" s="187" t="s">
        <v>951</v>
      </c>
      <c r="C2" s="14">
        <v>2E-3</v>
      </c>
      <c r="D2" s="184" t="s">
        <v>952</v>
      </c>
      <c r="E2" s="180" t="s">
        <v>953</v>
      </c>
      <c r="F2" s="3">
        <v>2E-3</v>
      </c>
      <c r="G2" s="176" t="s">
        <v>954</v>
      </c>
      <c r="H2" s="187" t="s">
        <v>955</v>
      </c>
      <c r="I2" s="14">
        <v>2E-3</v>
      </c>
      <c r="J2" s="15" t="s">
        <v>956</v>
      </c>
      <c r="K2" s="9" t="s">
        <v>957</v>
      </c>
      <c r="L2" s="3">
        <v>2.0999999999999999E-3</v>
      </c>
      <c r="M2" s="26" t="s">
        <v>1</v>
      </c>
      <c r="N2" s="17" t="s">
        <v>2</v>
      </c>
      <c r="O2" s="3">
        <v>2E-3</v>
      </c>
      <c r="P2" s="12" t="s">
        <v>5</v>
      </c>
      <c r="Q2" s="5" t="s">
        <v>6</v>
      </c>
      <c r="R2" s="3">
        <v>2.5000000000000001E-3</v>
      </c>
      <c r="S2" s="83" t="s">
        <v>9</v>
      </c>
      <c r="T2" s="82" t="s">
        <v>10</v>
      </c>
      <c r="U2" s="3">
        <v>5.0000000000000001E-3</v>
      </c>
      <c r="V2" s="97" t="s">
        <v>13</v>
      </c>
      <c r="W2" s="96" t="s">
        <v>14</v>
      </c>
      <c r="X2" s="3">
        <v>0.15</v>
      </c>
      <c r="Y2" s="97" t="s">
        <v>1154</v>
      </c>
      <c r="Z2" s="96" t="s">
        <v>1155</v>
      </c>
      <c r="AA2" s="185">
        <v>0.1</v>
      </c>
      <c r="AB2" s="97" t="s">
        <v>1156</v>
      </c>
      <c r="AC2" s="96" t="s">
        <v>1157</v>
      </c>
      <c r="AD2" s="46">
        <v>8.6999999999999994E-2</v>
      </c>
      <c r="AE2" s="131" t="s">
        <v>1374</v>
      </c>
      <c r="AF2" s="3">
        <v>0.21429999999999999</v>
      </c>
    </row>
    <row r="3" spans="1:32" x14ac:dyDescent="0.2">
      <c r="A3" s="180" t="s">
        <v>1416</v>
      </c>
      <c r="B3" s="180" t="s">
        <v>1001</v>
      </c>
      <c r="C3" s="14">
        <v>6.0000000000000001E-3</v>
      </c>
      <c r="D3" s="184" t="s">
        <v>1002</v>
      </c>
      <c r="E3" s="180" t="s">
        <v>1003</v>
      </c>
      <c r="F3" s="3">
        <v>6.0000000000000001E-3</v>
      </c>
      <c r="G3" s="186" t="s">
        <v>992</v>
      </c>
      <c r="H3" s="180" t="s">
        <v>993</v>
      </c>
      <c r="I3" s="14">
        <v>6.0000000000000001E-3</v>
      </c>
      <c r="J3" s="15" t="s">
        <v>994</v>
      </c>
      <c r="K3" s="9" t="s">
        <v>995</v>
      </c>
      <c r="L3" s="3">
        <v>5.8999999999999999E-3</v>
      </c>
      <c r="M3" s="26" t="s">
        <v>144</v>
      </c>
      <c r="N3" s="17" t="s">
        <v>145</v>
      </c>
      <c r="O3" s="3">
        <v>3.5000000000000001E-3</v>
      </c>
      <c r="P3" s="12" t="s">
        <v>3</v>
      </c>
      <c r="Q3" s="5" t="s">
        <v>4</v>
      </c>
      <c r="R3" s="3">
        <v>2.5000000000000001E-3</v>
      </c>
      <c r="S3" s="83" t="s">
        <v>176</v>
      </c>
      <c r="T3" s="82" t="s">
        <v>177</v>
      </c>
      <c r="U3" s="3">
        <v>5.0000000000000001E-3</v>
      </c>
      <c r="V3" s="83" t="s">
        <v>211</v>
      </c>
      <c r="W3" s="82" t="s">
        <v>212</v>
      </c>
      <c r="X3" s="3">
        <v>0.65</v>
      </c>
      <c r="Y3" s="83" t="s">
        <v>1115</v>
      </c>
      <c r="Z3" s="82" t="s">
        <v>1116</v>
      </c>
      <c r="AA3" s="185">
        <v>0.35</v>
      </c>
      <c r="AB3" s="97" t="s">
        <v>1117</v>
      </c>
      <c r="AC3" s="96" t="s">
        <v>1118</v>
      </c>
      <c r="AD3" s="46">
        <v>0.3478</v>
      </c>
      <c r="AE3" s="81" t="s">
        <v>1378</v>
      </c>
      <c r="AF3" s="3">
        <v>0.35709999999999997</v>
      </c>
    </row>
    <row r="4" spans="1:32" x14ac:dyDescent="0.2">
      <c r="A4" s="5" t="s">
        <v>1417</v>
      </c>
      <c r="B4" s="5" t="s">
        <v>1018</v>
      </c>
      <c r="C4" s="14">
        <v>1.15E-2</v>
      </c>
      <c r="D4" s="26" t="s">
        <v>1019</v>
      </c>
      <c r="E4" s="5" t="s">
        <v>1020</v>
      </c>
      <c r="F4" s="3">
        <v>1.4999999999999999E-2</v>
      </c>
      <c r="G4" s="12" t="s">
        <v>1012</v>
      </c>
      <c r="H4" s="5" t="s">
        <v>1013</v>
      </c>
      <c r="I4" s="14">
        <v>1.4999999999999999E-2</v>
      </c>
      <c r="J4" s="15" t="s">
        <v>1014</v>
      </c>
      <c r="K4" s="9" t="s">
        <v>1015</v>
      </c>
      <c r="L4" s="3">
        <v>1.18E-2</v>
      </c>
      <c r="M4" s="26" t="s">
        <v>159</v>
      </c>
      <c r="N4" s="17" t="s">
        <v>160</v>
      </c>
      <c r="O4" s="3">
        <v>3.5000000000000001E-3</v>
      </c>
      <c r="P4" s="12" t="s">
        <v>146</v>
      </c>
      <c r="Q4" s="5" t="s">
        <v>147</v>
      </c>
      <c r="R4" s="3">
        <v>5.0000000000000001E-3</v>
      </c>
      <c r="S4" s="83" t="s">
        <v>193</v>
      </c>
      <c r="T4" s="82" t="s">
        <v>194</v>
      </c>
      <c r="U4" s="3">
        <v>5.0000000000000001E-3</v>
      </c>
      <c r="V4" s="83" t="s">
        <v>1171</v>
      </c>
      <c r="W4" s="82" t="s">
        <v>1172</v>
      </c>
      <c r="X4" s="3">
        <v>0.2</v>
      </c>
      <c r="Y4" s="83" t="s">
        <v>1127</v>
      </c>
      <c r="Z4" s="82" t="s">
        <v>1128</v>
      </c>
      <c r="AA4" s="185">
        <v>0.35</v>
      </c>
      <c r="AB4" s="97" t="s">
        <v>1129</v>
      </c>
      <c r="AC4" s="96" t="s">
        <v>1130</v>
      </c>
      <c r="AD4" s="46">
        <v>0.3478</v>
      </c>
      <c r="AE4" s="81" t="s">
        <v>1382</v>
      </c>
      <c r="AF4" s="3">
        <v>0.21429999999999999</v>
      </c>
    </row>
    <row r="5" spans="1:32" x14ac:dyDescent="0.2">
      <c r="A5" s="5" t="s">
        <v>1418</v>
      </c>
      <c r="B5" s="5" t="s">
        <v>1032</v>
      </c>
      <c r="C5" s="14">
        <v>2.6499999999999999E-2</v>
      </c>
      <c r="D5" s="26" t="s">
        <v>1033</v>
      </c>
      <c r="E5" s="5" t="s">
        <v>1034</v>
      </c>
      <c r="F5" s="3">
        <v>2.6499999999999999E-2</v>
      </c>
      <c r="G5" s="12" t="s">
        <v>1027</v>
      </c>
      <c r="H5" s="5" t="s">
        <v>1028</v>
      </c>
      <c r="I5" s="14">
        <v>2.6499999999999999E-2</v>
      </c>
      <c r="J5" s="15" t="s">
        <v>1029</v>
      </c>
      <c r="K5" s="9" t="s">
        <v>1030</v>
      </c>
      <c r="L5" s="3">
        <v>2.6200000000000001E-2</v>
      </c>
      <c r="M5" s="26" t="s">
        <v>249</v>
      </c>
      <c r="N5" s="17" t="s">
        <v>250</v>
      </c>
      <c r="O5" s="3">
        <v>5.8999999999999999E-3</v>
      </c>
      <c r="P5" s="12" t="s">
        <v>161</v>
      </c>
      <c r="Q5" s="5" t="s">
        <v>162</v>
      </c>
      <c r="R5" s="3">
        <v>5.0000000000000001E-3</v>
      </c>
      <c r="S5" s="83" t="s">
        <v>289</v>
      </c>
      <c r="T5" s="82" t="s">
        <v>290</v>
      </c>
      <c r="U5" s="3">
        <v>0.01</v>
      </c>
      <c r="V5" s="126" t="s">
        <v>665</v>
      </c>
      <c r="W5" s="153" t="s">
        <v>666</v>
      </c>
      <c r="X5" s="125">
        <f>X2</f>
        <v>0.15</v>
      </c>
      <c r="Y5" s="82" t="s">
        <v>1173</v>
      </c>
      <c r="Z5" s="82" t="s">
        <v>1174</v>
      </c>
      <c r="AA5" s="185">
        <v>0.2</v>
      </c>
      <c r="AB5" s="97" t="s">
        <v>1175</v>
      </c>
      <c r="AC5" s="96" t="s">
        <v>1176</v>
      </c>
      <c r="AD5" s="46">
        <v>0.21740000000000001</v>
      </c>
      <c r="AE5" s="81" t="s">
        <v>1386</v>
      </c>
      <c r="AF5" s="3">
        <v>0.21429999999999999</v>
      </c>
    </row>
    <row r="6" spans="1:32" x14ac:dyDescent="0.2">
      <c r="A6" s="5" t="s">
        <v>1419</v>
      </c>
      <c r="B6" s="5" t="s">
        <v>1052</v>
      </c>
      <c r="C6" s="14">
        <v>7.0000000000000007E-2</v>
      </c>
      <c r="D6" s="26" t="s">
        <v>1053</v>
      </c>
      <c r="E6" s="5" t="s">
        <v>1054</v>
      </c>
      <c r="F6" s="3">
        <v>7.2499999999999995E-2</v>
      </c>
      <c r="G6" s="12" t="s">
        <v>1046</v>
      </c>
      <c r="H6" s="5" t="s">
        <v>1047</v>
      </c>
      <c r="I6" s="14">
        <v>7.2499999999999995E-2</v>
      </c>
      <c r="J6" s="15" t="s">
        <v>1048</v>
      </c>
      <c r="K6" s="9" t="s">
        <v>1049</v>
      </c>
      <c r="L6" s="3">
        <v>6.9800000000000001E-2</v>
      </c>
      <c r="M6" s="26" t="s">
        <v>267</v>
      </c>
      <c r="N6" s="17" t="s">
        <v>268</v>
      </c>
      <c r="O6" s="3">
        <v>1.18E-2</v>
      </c>
      <c r="P6" s="12" t="s">
        <v>271</v>
      </c>
      <c r="Q6" s="5" t="s">
        <v>272</v>
      </c>
      <c r="R6" s="3">
        <v>5.0000000000000001E-3</v>
      </c>
      <c r="S6" s="83" t="s">
        <v>304</v>
      </c>
      <c r="T6" s="82" t="s">
        <v>305</v>
      </c>
      <c r="U6" s="3">
        <v>0.02</v>
      </c>
      <c r="V6" s="105" t="s">
        <v>711</v>
      </c>
      <c r="W6" s="104" t="s">
        <v>712</v>
      </c>
      <c r="X6" s="70">
        <f>X3</f>
        <v>0.65</v>
      </c>
      <c r="Y6" s="153" t="s">
        <v>665</v>
      </c>
      <c r="Z6" s="153" t="s">
        <v>666</v>
      </c>
      <c r="AA6" s="125">
        <f>SUM(AA2)</f>
        <v>0.1</v>
      </c>
      <c r="AB6" s="153" t="s">
        <v>665</v>
      </c>
      <c r="AC6" s="153" t="s">
        <v>666</v>
      </c>
      <c r="AD6" s="125">
        <f>SUM(AD2)</f>
        <v>8.6999999999999994E-2</v>
      </c>
      <c r="AE6" s="153" t="s">
        <v>666</v>
      </c>
      <c r="AF6" s="125">
        <f>SUM(AF2)</f>
        <v>0.21429999999999999</v>
      </c>
    </row>
    <row r="7" spans="1:32" x14ac:dyDescent="0.2">
      <c r="A7" s="178" t="s">
        <v>812</v>
      </c>
      <c r="B7" s="178" t="s">
        <v>813</v>
      </c>
      <c r="C7" s="14">
        <v>3.5000000000000001E-3</v>
      </c>
      <c r="D7" s="184" t="s">
        <v>814</v>
      </c>
      <c r="E7" s="180" t="s">
        <v>815</v>
      </c>
      <c r="F7" s="3">
        <v>5.0000000000000001E-3</v>
      </c>
      <c r="G7" s="171" t="s">
        <v>825</v>
      </c>
      <c r="H7" s="178" t="s">
        <v>817</v>
      </c>
      <c r="I7" s="14">
        <v>5.0000000000000001E-3</v>
      </c>
      <c r="J7" s="15" t="s">
        <v>818</v>
      </c>
      <c r="K7" s="9" t="s">
        <v>819</v>
      </c>
      <c r="L7" s="3">
        <v>3.5000000000000001E-3</v>
      </c>
      <c r="M7" s="26" t="s">
        <v>283</v>
      </c>
      <c r="N7" s="17" t="s">
        <v>284</v>
      </c>
      <c r="O7" s="3">
        <v>2.6200000000000001E-2</v>
      </c>
      <c r="P7" s="12" t="s">
        <v>285</v>
      </c>
      <c r="Q7" s="5" t="s">
        <v>286</v>
      </c>
      <c r="R7" s="3">
        <v>0.01</v>
      </c>
      <c r="S7" s="83" t="s">
        <v>322</v>
      </c>
      <c r="T7" s="82" t="s">
        <v>323</v>
      </c>
      <c r="U7" s="3">
        <v>0.05</v>
      </c>
      <c r="V7" s="57" t="s">
        <v>1225</v>
      </c>
      <c r="W7" s="104" t="s">
        <v>1224</v>
      </c>
      <c r="X7" s="70">
        <f>X4</f>
        <v>0.2</v>
      </c>
      <c r="Y7" s="104" t="s">
        <v>711</v>
      </c>
      <c r="Z7" s="104" t="s">
        <v>712</v>
      </c>
      <c r="AA7" s="70">
        <f>SUM(AA3:AA4)</f>
        <v>0.7</v>
      </c>
      <c r="AB7" s="104" t="s">
        <v>711</v>
      </c>
      <c r="AC7" s="104" t="s">
        <v>712</v>
      </c>
      <c r="AD7" s="70">
        <f>SUM(AD3:AD4)</f>
        <v>0.6956</v>
      </c>
      <c r="AE7" s="104" t="s">
        <v>712</v>
      </c>
      <c r="AF7" s="70">
        <f>SUM(AF3)</f>
        <v>0.35709999999999997</v>
      </c>
    </row>
    <row r="8" spans="1:32" x14ac:dyDescent="0.2">
      <c r="A8" s="5" t="s">
        <v>850</v>
      </c>
      <c r="B8" s="5" t="s">
        <v>851</v>
      </c>
      <c r="C8" s="14">
        <v>8.5000000000000006E-3</v>
      </c>
      <c r="D8" s="26" t="s">
        <v>843</v>
      </c>
      <c r="E8" s="5" t="s">
        <v>844</v>
      </c>
      <c r="F8" s="3">
        <v>8.0000000000000002E-3</v>
      </c>
      <c r="G8" s="12" t="s">
        <v>845</v>
      </c>
      <c r="H8" s="5" t="s">
        <v>839</v>
      </c>
      <c r="I8" s="14">
        <v>8.0000000000000002E-3</v>
      </c>
      <c r="J8" s="15" t="s">
        <v>840</v>
      </c>
      <c r="K8" s="9" t="s">
        <v>841</v>
      </c>
      <c r="L8" s="3">
        <v>8.3999999999999995E-3</v>
      </c>
      <c r="M8" s="26" t="s">
        <v>1050</v>
      </c>
      <c r="N8" s="17" t="s">
        <v>1051</v>
      </c>
      <c r="O8" s="3">
        <v>6.9699999999999998E-2</v>
      </c>
      <c r="P8" s="12" t="s">
        <v>300</v>
      </c>
      <c r="Q8" s="5" t="s">
        <v>301</v>
      </c>
      <c r="R8" s="3">
        <v>2.5000000000000001E-2</v>
      </c>
      <c r="S8" s="83" t="s">
        <v>1066</v>
      </c>
      <c r="T8" s="82" t="s">
        <v>1067</v>
      </c>
      <c r="U8" s="3">
        <v>0.08</v>
      </c>
      <c r="V8" s="169"/>
      <c r="W8" s="52" t="s">
        <v>744</v>
      </c>
      <c r="X8" s="74">
        <f>SUM(X5:X7)</f>
        <v>1</v>
      </c>
      <c r="Y8" s="2" t="s">
        <v>1225</v>
      </c>
      <c r="Z8" s="104" t="s">
        <v>1224</v>
      </c>
      <c r="AA8" s="70">
        <f>SUM(AA5)</f>
        <v>0.2</v>
      </c>
      <c r="AB8" s="2" t="s">
        <v>1225</v>
      </c>
      <c r="AC8" s="104" t="s">
        <v>1224</v>
      </c>
      <c r="AD8" s="70">
        <f>SUM(AD5)</f>
        <v>0.21740000000000001</v>
      </c>
      <c r="AE8" s="104" t="s">
        <v>1224</v>
      </c>
      <c r="AF8" s="70">
        <f>SUM(AF4)</f>
        <v>0.21429999999999999</v>
      </c>
    </row>
    <row r="9" spans="1:32" x14ac:dyDescent="0.2">
      <c r="A9" s="5" t="s">
        <v>889</v>
      </c>
      <c r="B9" s="5" t="s">
        <v>890</v>
      </c>
      <c r="C9" s="14">
        <v>2.9600000000000001E-2</v>
      </c>
      <c r="D9" s="26" t="s">
        <v>881</v>
      </c>
      <c r="E9" s="5" t="s">
        <v>882</v>
      </c>
      <c r="F9" s="3">
        <v>2.6700000000000002E-2</v>
      </c>
      <c r="G9" s="94" t="s">
        <v>875</v>
      </c>
      <c r="H9" s="93" t="s">
        <v>871</v>
      </c>
      <c r="I9" s="14">
        <v>2.6700000000000002E-2</v>
      </c>
      <c r="J9" s="15" t="s">
        <v>872</v>
      </c>
      <c r="K9" s="9" t="s">
        <v>873</v>
      </c>
      <c r="L9" s="3">
        <v>2.9100000000000001E-2</v>
      </c>
      <c r="M9" s="26" t="s">
        <v>420</v>
      </c>
      <c r="N9" s="17" t="s">
        <v>421</v>
      </c>
      <c r="O9" s="3">
        <v>8.3999999999999995E-3</v>
      </c>
      <c r="P9" s="12" t="s">
        <v>1060</v>
      </c>
      <c r="Q9" s="5" t="s">
        <v>1061</v>
      </c>
      <c r="R9" s="3">
        <v>0.04</v>
      </c>
      <c r="S9" s="83" t="s">
        <v>437</v>
      </c>
      <c r="T9" s="82" t="s">
        <v>438</v>
      </c>
      <c r="U9" s="3">
        <v>2.5999999999999999E-2</v>
      </c>
      <c r="Y9" s="52"/>
      <c r="Z9" s="52" t="s">
        <v>744</v>
      </c>
      <c r="AA9" s="74">
        <f>SUM(AA6:AA8)</f>
        <v>1</v>
      </c>
      <c r="AB9" s="52"/>
      <c r="AC9" s="52" t="s">
        <v>744</v>
      </c>
      <c r="AD9" s="74">
        <f>SUM(AD6:AD8)</f>
        <v>1</v>
      </c>
      <c r="AE9" s="104" t="s">
        <v>697</v>
      </c>
      <c r="AF9" s="70">
        <f>SUM(AF5)</f>
        <v>0.21429999999999999</v>
      </c>
    </row>
    <row r="10" spans="1:32" x14ac:dyDescent="0.2">
      <c r="A10" s="93" t="s">
        <v>938</v>
      </c>
      <c r="B10" s="93" t="s">
        <v>939</v>
      </c>
      <c r="C10" s="14">
        <v>0.1031</v>
      </c>
      <c r="D10" s="26" t="s">
        <v>921</v>
      </c>
      <c r="E10" s="5" t="s">
        <v>922</v>
      </c>
      <c r="F10" s="3">
        <v>8.8900000000000007E-2</v>
      </c>
      <c r="G10" s="12" t="s">
        <v>908</v>
      </c>
      <c r="H10" s="5" t="s">
        <v>904</v>
      </c>
      <c r="I10" s="14">
        <v>8.8900000000000007E-2</v>
      </c>
      <c r="J10" s="15" t="s">
        <v>905</v>
      </c>
      <c r="K10" s="9" t="s">
        <v>906</v>
      </c>
      <c r="L10" s="3">
        <v>0.1018</v>
      </c>
      <c r="M10" s="26" t="s">
        <v>517</v>
      </c>
      <c r="N10" s="17" t="s">
        <v>518</v>
      </c>
      <c r="O10" s="3">
        <v>2.92E-2</v>
      </c>
      <c r="P10" s="12" t="s">
        <v>229</v>
      </c>
      <c r="Q10" s="5" t="s">
        <v>230</v>
      </c>
      <c r="R10" s="3">
        <v>5.0000000000000001E-3</v>
      </c>
      <c r="S10" s="83" t="s">
        <v>519</v>
      </c>
      <c r="T10" s="82" t="s">
        <v>520</v>
      </c>
      <c r="U10" s="3">
        <v>5.16E-2</v>
      </c>
      <c r="AE10" s="52" t="s">
        <v>744</v>
      </c>
      <c r="AF10" s="74">
        <f>SUM(AF6:AF9)</f>
        <v>0.99999999999999978</v>
      </c>
    </row>
    <row r="11" spans="1:32" x14ac:dyDescent="0.2">
      <c r="A11" s="5" t="s">
        <v>1420</v>
      </c>
      <c r="B11" s="5" t="s">
        <v>1421</v>
      </c>
      <c r="C11" s="14">
        <v>0.28849999999999998</v>
      </c>
      <c r="D11" s="26" t="s">
        <v>1422</v>
      </c>
      <c r="E11" s="5" t="s">
        <v>1423</v>
      </c>
      <c r="F11" s="3">
        <v>0.21340000000000001</v>
      </c>
      <c r="G11" s="94" t="s">
        <v>1424</v>
      </c>
      <c r="H11" s="93" t="s">
        <v>1425</v>
      </c>
      <c r="I11" s="14">
        <v>0.21340000000000001</v>
      </c>
      <c r="J11" s="15" t="s">
        <v>1426</v>
      </c>
      <c r="K11" s="9" t="s">
        <v>1427</v>
      </c>
      <c r="L11" s="3">
        <v>0.29070000000000001</v>
      </c>
      <c r="M11" s="26" t="s">
        <v>622</v>
      </c>
      <c r="N11" s="17" t="s">
        <v>623</v>
      </c>
      <c r="O11" s="3">
        <v>0.1018</v>
      </c>
      <c r="P11" s="12" t="s">
        <v>251</v>
      </c>
      <c r="Q11" s="5" t="s">
        <v>252</v>
      </c>
      <c r="R11" s="3">
        <v>0.01</v>
      </c>
      <c r="S11" s="83" t="s">
        <v>603</v>
      </c>
      <c r="T11" s="82" t="s">
        <v>604</v>
      </c>
      <c r="U11" s="3">
        <v>0.12939999999999999</v>
      </c>
    </row>
    <row r="12" spans="1:32" x14ac:dyDescent="0.2">
      <c r="A12" s="178" t="s">
        <v>830</v>
      </c>
      <c r="B12" s="178" t="s">
        <v>831</v>
      </c>
      <c r="C12" s="14">
        <v>3.5000000000000001E-3</v>
      </c>
      <c r="D12" s="184" t="s">
        <v>823</v>
      </c>
      <c r="E12" s="180" t="s">
        <v>824</v>
      </c>
      <c r="F12" s="3">
        <v>2E-3</v>
      </c>
      <c r="G12" s="171" t="s">
        <v>816</v>
      </c>
      <c r="H12" s="178" t="s">
        <v>826</v>
      </c>
      <c r="I12" s="14">
        <v>2E-3</v>
      </c>
      <c r="J12" s="15" t="s">
        <v>827</v>
      </c>
      <c r="K12" s="9" t="s">
        <v>828</v>
      </c>
      <c r="L12" s="3">
        <v>3.5000000000000001E-3</v>
      </c>
      <c r="M12" s="26" t="s">
        <v>1428</v>
      </c>
      <c r="N12" s="17" t="s">
        <v>1429</v>
      </c>
      <c r="O12" s="3">
        <v>0.29060000000000002</v>
      </c>
      <c r="P12" s="12" t="s">
        <v>269</v>
      </c>
      <c r="Q12" s="5" t="s">
        <v>270</v>
      </c>
      <c r="R12" s="3">
        <v>2.5000000000000001E-2</v>
      </c>
      <c r="S12" s="83" t="s">
        <v>1430</v>
      </c>
      <c r="T12" s="82" t="s">
        <v>1431</v>
      </c>
      <c r="U12" s="3">
        <v>0.15540000000000001</v>
      </c>
    </row>
    <row r="13" spans="1:32" x14ac:dyDescent="0.2">
      <c r="A13" s="5" t="s">
        <v>862</v>
      </c>
      <c r="B13" s="5" t="s">
        <v>863</v>
      </c>
      <c r="C13" s="14">
        <v>8.5000000000000006E-3</v>
      </c>
      <c r="D13" s="26" t="s">
        <v>852</v>
      </c>
      <c r="E13" s="5" t="s">
        <v>853</v>
      </c>
      <c r="F13" s="3">
        <v>4.1999999999999997E-3</v>
      </c>
      <c r="G13" s="12" t="s">
        <v>838</v>
      </c>
      <c r="H13" s="5" t="s">
        <v>846</v>
      </c>
      <c r="I13" s="14">
        <v>4.1999999999999997E-3</v>
      </c>
      <c r="J13" s="15" t="s">
        <v>847</v>
      </c>
      <c r="K13" s="9" t="s">
        <v>848</v>
      </c>
      <c r="L13" s="3">
        <v>8.3999999999999995E-3</v>
      </c>
      <c r="M13" s="26" t="s">
        <v>435</v>
      </c>
      <c r="N13" s="17" t="s">
        <v>436</v>
      </c>
      <c r="O13" s="3">
        <v>8.3999999999999995E-3</v>
      </c>
      <c r="P13" s="12" t="s">
        <v>1058</v>
      </c>
      <c r="Q13" s="5" t="s">
        <v>1059</v>
      </c>
      <c r="R13" s="3">
        <v>0.04</v>
      </c>
      <c r="S13" s="83" t="s">
        <v>450</v>
      </c>
      <c r="T13" s="82" t="s">
        <v>451</v>
      </c>
      <c r="U13" s="3">
        <v>2.5999999999999999E-2</v>
      </c>
    </row>
    <row r="14" spans="1:32" x14ac:dyDescent="0.2">
      <c r="A14" s="93" t="s">
        <v>898</v>
      </c>
      <c r="B14" s="93" t="s">
        <v>899</v>
      </c>
      <c r="C14" s="14">
        <v>2.9600000000000001E-2</v>
      </c>
      <c r="D14" s="26" t="s">
        <v>886</v>
      </c>
      <c r="E14" s="5" t="s">
        <v>887</v>
      </c>
      <c r="F14" s="3">
        <v>1.5599999999999999E-2</v>
      </c>
      <c r="G14" s="12" t="s">
        <v>870</v>
      </c>
      <c r="H14" s="5" t="s">
        <v>876</v>
      </c>
      <c r="I14" s="14">
        <v>1.5599999999999999E-2</v>
      </c>
      <c r="J14" s="15" t="s">
        <v>877</v>
      </c>
      <c r="K14" s="9" t="s">
        <v>878</v>
      </c>
      <c r="L14" s="3">
        <v>2.9100000000000001E-2</v>
      </c>
      <c r="M14" s="26" t="s">
        <v>538</v>
      </c>
      <c r="N14" s="17" t="s">
        <v>539</v>
      </c>
      <c r="O14" s="3">
        <v>2.92E-2</v>
      </c>
      <c r="P14" s="12" t="s">
        <v>403</v>
      </c>
      <c r="Q14" s="5" t="s">
        <v>404</v>
      </c>
      <c r="R14" s="3">
        <v>2.5999999999999999E-2</v>
      </c>
      <c r="S14" s="83" t="s">
        <v>540</v>
      </c>
      <c r="T14" s="82" t="s">
        <v>541</v>
      </c>
      <c r="U14" s="3">
        <v>5.16E-2</v>
      </c>
    </row>
    <row r="15" spans="1:32" x14ac:dyDescent="0.2">
      <c r="A15" s="5" t="s">
        <v>945</v>
      </c>
      <c r="B15" s="5" t="s">
        <v>946</v>
      </c>
      <c r="C15" s="14">
        <v>0.1031</v>
      </c>
      <c r="D15" s="26" t="s">
        <v>927</v>
      </c>
      <c r="E15" s="5" t="s">
        <v>928</v>
      </c>
      <c r="F15" s="3">
        <v>6.0400000000000002E-2</v>
      </c>
      <c r="G15" s="94" t="s">
        <v>903</v>
      </c>
      <c r="H15" s="93" t="s">
        <v>909</v>
      </c>
      <c r="I15" s="14">
        <v>6.0400000000000002E-2</v>
      </c>
      <c r="J15" s="15" t="s">
        <v>910</v>
      </c>
      <c r="K15" s="9" t="s">
        <v>911</v>
      </c>
      <c r="L15" s="3">
        <v>0.1018</v>
      </c>
      <c r="M15" s="26" t="s">
        <v>642</v>
      </c>
      <c r="N15" s="17" t="s">
        <v>643</v>
      </c>
      <c r="O15" s="3">
        <v>0.1018</v>
      </c>
      <c r="P15" s="12" t="s">
        <v>480</v>
      </c>
      <c r="Q15" s="5" t="s">
        <v>481</v>
      </c>
      <c r="R15" s="3">
        <v>5.16E-2</v>
      </c>
      <c r="S15" s="83" t="s">
        <v>624</v>
      </c>
      <c r="T15" s="82" t="s">
        <v>625</v>
      </c>
      <c r="U15" s="3">
        <v>0.12939999999999999</v>
      </c>
    </row>
    <row r="16" spans="1:32" x14ac:dyDescent="0.2">
      <c r="A16" s="93" t="s">
        <v>1432</v>
      </c>
      <c r="B16" s="93" t="s">
        <v>1433</v>
      </c>
      <c r="C16" s="14">
        <v>0.28849999999999998</v>
      </c>
      <c r="D16" s="26" t="s">
        <v>1434</v>
      </c>
      <c r="E16" s="5" t="s">
        <v>1435</v>
      </c>
      <c r="F16" s="3">
        <v>0.17780000000000001</v>
      </c>
      <c r="G16" s="12" t="s">
        <v>1436</v>
      </c>
      <c r="H16" s="5" t="s">
        <v>1437</v>
      </c>
      <c r="I16" s="14">
        <v>0.17780000000000001</v>
      </c>
      <c r="J16" s="15" t="s">
        <v>1438</v>
      </c>
      <c r="K16" s="9" t="s">
        <v>1439</v>
      </c>
      <c r="L16" s="3">
        <v>0.29070000000000001</v>
      </c>
      <c r="M16" s="26" t="s">
        <v>1440</v>
      </c>
      <c r="N16" s="17" t="s">
        <v>1441</v>
      </c>
      <c r="O16" s="3">
        <v>0.29060000000000002</v>
      </c>
      <c r="P16" s="12" t="s">
        <v>573</v>
      </c>
      <c r="Q16" s="5" t="s">
        <v>574</v>
      </c>
      <c r="R16" s="3">
        <v>0.1295</v>
      </c>
      <c r="S16" s="83" t="s">
        <v>1442</v>
      </c>
      <c r="T16" s="82" t="s">
        <v>1443</v>
      </c>
      <c r="U16" s="3">
        <v>0.15540000000000001</v>
      </c>
    </row>
    <row r="17" spans="1:21" x14ac:dyDescent="0.2">
      <c r="A17" s="44" t="s">
        <v>1444</v>
      </c>
      <c r="B17" s="44" t="s">
        <v>1444</v>
      </c>
      <c r="C17" s="14">
        <v>1.7399999999999999E-2</v>
      </c>
      <c r="D17" s="184" t="s">
        <v>832</v>
      </c>
      <c r="E17" s="180" t="s">
        <v>833</v>
      </c>
      <c r="F17" s="3">
        <v>2E-3</v>
      </c>
      <c r="G17" s="171" t="s">
        <v>834</v>
      </c>
      <c r="H17" s="178" t="s">
        <v>835</v>
      </c>
      <c r="I17" s="14">
        <v>2E-3</v>
      </c>
      <c r="J17" s="15" t="s">
        <v>1444</v>
      </c>
      <c r="K17" s="9" t="s">
        <v>1444</v>
      </c>
      <c r="L17" s="141">
        <v>1.7399999999999999E-2</v>
      </c>
      <c r="M17" s="26" t="s">
        <v>1445</v>
      </c>
      <c r="N17" s="4" t="s">
        <v>1445</v>
      </c>
      <c r="O17" s="3">
        <v>1.7500000000000002E-2</v>
      </c>
      <c r="P17" s="12" t="s">
        <v>1446</v>
      </c>
      <c r="Q17" s="5" t="s">
        <v>1447</v>
      </c>
      <c r="R17" s="3">
        <v>0.15540000000000001</v>
      </c>
      <c r="S17" s="83" t="s">
        <v>1445</v>
      </c>
      <c r="T17" s="82" t="s">
        <v>1445</v>
      </c>
      <c r="U17" s="3">
        <v>0.1</v>
      </c>
    </row>
    <row r="18" spans="1:21" x14ac:dyDescent="0.2">
      <c r="A18" s="105" t="s">
        <v>665</v>
      </c>
      <c r="B18" s="110" t="s">
        <v>666</v>
      </c>
      <c r="C18" s="91">
        <f>SUM(C2)</f>
        <v>2E-3</v>
      </c>
      <c r="D18" s="4" t="s">
        <v>859</v>
      </c>
      <c r="E18" s="5" t="s">
        <v>860</v>
      </c>
      <c r="F18" s="3">
        <v>4.1999999999999997E-3</v>
      </c>
      <c r="G18" s="12" t="s">
        <v>854</v>
      </c>
      <c r="H18" s="5" t="s">
        <v>855</v>
      </c>
      <c r="I18" s="14">
        <v>4.1999999999999997E-3</v>
      </c>
      <c r="J18" s="105" t="s">
        <v>665</v>
      </c>
      <c r="K18" s="110" t="s">
        <v>666</v>
      </c>
      <c r="L18" s="91">
        <f>SUM(L2)</f>
        <v>2.0999999999999999E-3</v>
      </c>
      <c r="M18" s="105" t="s">
        <v>665</v>
      </c>
      <c r="N18" s="110" t="s">
        <v>666</v>
      </c>
      <c r="O18" s="91">
        <f>SUM(O2)</f>
        <v>2E-3</v>
      </c>
      <c r="P18" s="5" t="s">
        <v>422</v>
      </c>
      <c r="Q18" s="5" t="s">
        <v>423</v>
      </c>
      <c r="R18" s="3">
        <v>2.5999999999999999E-2</v>
      </c>
      <c r="S18" s="105" t="s">
        <v>665</v>
      </c>
      <c r="T18" s="110" t="s">
        <v>666</v>
      </c>
      <c r="U18" s="91">
        <f>U2</f>
        <v>5.0000000000000001E-3</v>
      </c>
    </row>
    <row r="19" spans="1:21" x14ac:dyDescent="0.2">
      <c r="A19" s="105" t="s">
        <v>681</v>
      </c>
      <c r="B19" s="104" t="s">
        <v>682</v>
      </c>
      <c r="C19" s="91">
        <f>SUM(C3:C6)</f>
        <v>0.114</v>
      </c>
      <c r="D19" s="4" t="s">
        <v>891</v>
      </c>
      <c r="E19" s="5" t="s">
        <v>892</v>
      </c>
      <c r="F19" s="3">
        <v>1.5599999999999999E-2</v>
      </c>
      <c r="G19" s="94" t="s">
        <v>883</v>
      </c>
      <c r="H19" s="93" t="s">
        <v>884</v>
      </c>
      <c r="I19" s="14">
        <v>1.5599999999999999E-2</v>
      </c>
      <c r="J19" s="105" t="s">
        <v>681</v>
      </c>
      <c r="K19" s="104" t="s">
        <v>682</v>
      </c>
      <c r="L19" s="91">
        <f>SUM(L3:L6)</f>
        <v>0.1137</v>
      </c>
      <c r="M19" s="105" t="s">
        <v>681</v>
      </c>
      <c r="N19" s="104" t="s">
        <v>682</v>
      </c>
      <c r="O19" s="91">
        <f>SUM(O5:O8)</f>
        <v>0.11360000000000001</v>
      </c>
      <c r="P19" s="5" t="s">
        <v>498</v>
      </c>
      <c r="Q19" s="5" t="s">
        <v>499</v>
      </c>
      <c r="R19" s="3">
        <v>5.16E-2</v>
      </c>
      <c r="S19" s="105" t="s">
        <v>681</v>
      </c>
      <c r="T19" s="104" t="s">
        <v>682</v>
      </c>
      <c r="U19" s="91">
        <f>SUM(U5:U8)</f>
        <v>0.16</v>
      </c>
    </row>
    <row r="20" spans="1:21" x14ac:dyDescent="0.2">
      <c r="A20" s="105" t="s">
        <v>711</v>
      </c>
      <c r="B20" s="104" t="s">
        <v>712</v>
      </c>
      <c r="C20" s="91">
        <f>SUM(C7,C12)</f>
        <v>7.0000000000000001E-3</v>
      </c>
      <c r="D20" s="4" t="s">
        <v>933</v>
      </c>
      <c r="E20" s="5" t="s">
        <v>934</v>
      </c>
      <c r="F20" s="3">
        <v>6.0400000000000002E-2</v>
      </c>
      <c r="G20" s="12" t="s">
        <v>914</v>
      </c>
      <c r="H20" s="5" t="s">
        <v>915</v>
      </c>
      <c r="I20" s="14">
        <v>6.0400000000000002E-2</v>
      </c>
      <c r="J20" s="105" t="s">
        <v>711</v>
      </c>
      <c r="K20" s="104" t="s">
        <v>712</v>
      </c>
      <c r="L20" s="91">
        <f>SUM(L7,L12)</f>
        <v>7.0000000000000001E-3</v>
      </c>
      <c r="M20" s="105" t="s">
        <v>711</v>
      </c>
      <c r="N20" s="104" t="s">
        <v>712</v>
      </c>
      <c r="O20" s="91">
        <f>SUM(O3:O4)</f>
        <v>7.0000000000000001E-3</v>
      </c>
      <c r="P20" s="5" t="s">
        <v>588</v>
      </c>
      <c r="Q20" s="5" t="s">
        <v>589</v>
      </c>
      <c r="R20" s="3">
        <v>0.1295</v>
      </c>
      <c r="S20" s="105" t="s">
        <v>711</v>
      </c>
      <c r="T20" s="104" t="s">
        <v>712</v>
      </c>
      <c r="U20" s="91">
        <f>SUM(U3:U4)</f>
        <v>0.01</v>
      </c>
    </row>
    <row r="21" spans="1:21" ht="18.95" customHeight="1" x14ac:dyDescent="0.2">
      <c r="A21" s="105" t="s">
        <v>1448</v>
      </c>
      <c r="B21" s="104" t="s">
        <v>726</v>
      </c>
      <c r="C21" s="70">
        <f>SUM(C8:C11,C13:C16)</f>
        <v>0.85939999999999994</v>
      </c>
      <c r="D21" s="4" t="s">
        <v>1449</v>
      </c>
      <c r="E21" s="5" t="s">
        <v>1450</v>
      </c>
      <c r="F21" s="3">
        <v>0.17780000000000001</v>
      </c>
      <c r="G21" s="94" t="s">
        <v>1451</v>
      </c>
      <c r="H21" s="93" t="s">
        <v>1452</v>
      </c>
      <c r="I21" s="14">
        <v>0.17780000000000001</v>
      </c>
      <c r="J21" s="105" t="s">
        <v>1448</v>
      </c>
      <c r="K21" s="104" t="s">
        <v>726</v>
      </c>
      <c r="L21" s="70">
        <f>SUM(L8:L11,L13:L16)</f>
        <v>0.8600000000000001</v>
      </c>
      <c r="M21" s="105" t="s">
        <v>1448</v>
      </c>
      <c r="N21" s="104" t="s">
        <v>726</v>
      </c>
      <c r="O21" s="70">
        <f>SUM(O9:O16)</f>
        <v>0.8600000000000001</v>
      </c>
      <c r="P21" s="5" t="s">
        <v>1453</v>
      </c>
      <c r="Q21" s="5" t="s">
        <v>1454</v>
      </c>
      <c r="R21" s="3">
        <v>0.15540000000000001</v>
      </c>
      <c r="S21" s="105" t="s">
        <v>1448</v>
      </c>
      <c r="T21" s="104" t="s">
        <v>726</v>
      </c>
      <c r="U21" s="70">
        <f>SUM(U9:U16)</f>
        <v>0.7248</v>
      </c>
    </row>
    <row r="22" spans="1:21" x14ac:dyDescent="0.2">
      <c r="A22" s="105" t="s">
        <v>931</v>
      </c>
      <c r="B22" s="104" t="s">
        <v>1444</v>
      </c>
      <c r="C22" s="70">
        <f>C17</f>
        <v>1.7399999999999999E-2</v>
      </c>
      <c r="D22" s="4" t="s">
        <v>1444</v>
      </c>
      <c r="E22" s="5" t="s">
        <v>1444</v>
      </c>
      <c r="F22" s="3">
        <v>1.6E-2</v>
      </c>
      <c r="G22" s="43" t="s">
        <v>1444</v>
      </c>
      <c r="H22" s="44" t="s">
        <v>1444</v>
      </c>
      <c r="I22" s="14">
        <v>1.6E-2</v>
      </c>
      <c r="J22" s="105" t="s">
        <v>931</v>
      </c>
      <c r="K22" s="104" t="s">
        <v>1444</v>
      </c>
      <c r="L22" s="70">
        <f>L17</f>
        <v>1.7399999999999999E-2</v>
      </c>
      <c r="M22" s="105" t="s">
        <v>931</v>
      </c>
      <c r="N22" s="104" t="s">
        <v>1445</v>
      </c>
      <c r="O22" s="70">
        <f>O17</f>
        <v>1.7500000000000002E-2</v>
      </c>
      <c r="P22" s="5" t="s">
        <v>1445</v>
      </c>
      <c r="Q22" s="5" t="s">
        <v>1445</v>
      </c>
      <c r="R22" s="3">
        <v>0.1</v>
      </c>
      <c r="S22" s="105" t="s">
        <v>931</v>
      </c>
      <c r="T22" s="104" t="s">
        <v>1445</v>
      </c>
      <c r="U22" s="70">
        <f>U17</f>
        <v>0.1</v>
      </c>
    </row>
    <row r="23" spans="1:21" x14ac:dyDescent="0.2">
      <c r="A23" s="61"/>
      <c r="B23" s="61" t="s">
        <v>744</v>
      </c>
      <c r="C23" s="74">
        <f>SUM(C18:C22)</f>
        <v>0.99979999999999991</v>
      </c>
      <c r="D23" s="105" t="s">
        <v>665</v>
      </c>
      <c r="E23" s="110" t="s">
        <v>666</v>
      </c>
      <c r="F23" s="91">
        <f>SUM(F2)</f>
        <v>2E-3</v>
      </c>
      <c r="G23" s="105" t="s">
        <v>665</v>
      </c>
      <c r="H23" s="110" t="s">
        <v>666</v>
      </c>
      <c r="I23" s="91">
        <f>SUM(I2)</f>
        <v>2E-3</v>
      </c>
      <c r="J23" s="61"/>
      <c r="K23" s="61" t="s">
        <v>744</v>
      </c>
      <c r="L23" s="74">
        <f>SUM(L18:L22)</f>
        <v>1.0002000000000002</v>
      </c>
      <c r="M23" s="61"/>
      <c r="N23" s="61" t="s">
        <v>744</v>
      </c>
      <c r="O23" s="74">
        <f>SUM(O18:O22)</f>
        <v>1.0001000000000002</v>
      </c>
      <c r="P23" s="105" t="s">
        <v>665</v>
      </c>
      <c r="Q23" s="110" t="s">
        <v>666</v>
      </c>
      <c r="R23" s="91">
        <f>SUM(R2:R3)</f>
        <v>5.0000000000000001E-3</v>
      </c>
      <c r="S23" s="61"/>
      <c r="T23" s="61" t="s">
        <v>744</v>
      </c>
      <c r="U23" s="74">
        <f>SUM(U18:U22)</f>
        <v>0.99980000000000002</v>
      </c>
    </row>
    <row r="24" spans="1:21" x14ac:dyDescent="0.2">
      <c r="D24" s="105" t="s">
        <v>681</v>
      </c>
      <c r="E24" s="104" t="s">
        <v>682</v>
      </c>
      <c r="F24" s="91">
        <f>SUM(F3:F6)</f>
        <v>0.12</v>
      </c>
      <c r="G24" s="105" t="s">
        <v>681</v>
      </c>
      <c r="H24" s="104" t="s">
        <v>682</v>
      </c>
      <c r="I24" s="91">
        <f>SUM(I3:I6)</f>
        <v>0.12</v>
      </c>
      <c r="J24" s="154"/>
      <c r="K24" s="154"/>
      <c r="L24" s="154"/>
      <c r="M24" s="154"/>
      <c r="N24" s="154"/>
      <c r="O24" s="154"/>
      <c r="P24" s="105" t="s">
        <v>681</v>
      </c>
      <c r="Q24" s="104" t="s">
        <v>682</v>
      </c>
      <c r="R24" s="91">
        <f>SUM(R6:R13)</f>
        <v>0.16</v>
      </c>
    </row>
    <row r="25" spans="1:21" x14ac:dyDescent="0.2">
      <c r="D25" s="105" t="s">
        <v>711</v>
      </c>
      <c r="E25" s="104" t="s">
        <v>712</v>
      </c>
      <c r="F25" s="91">
        <f>SUM(F7,F12,F17)</f>
        <v>9.0000000000000011E-3</v>
      </c>
      <c r="G25" s="105" t="s">
        <v>711</v>
      </c>
      <c r="H25" s="104" t="s">
        <v>712</v>
      </c>
      <c r="I25" s="91">
        <f>SUM(I7,I12,I17)</f>
        <v>9.0000000000000011E-3</v>
      </c>
      <c r="J25" s="154"/>
      <c r="K25" s="154"/>
      <c r="L25" s="154"/>
      <c r="M25" s="154"/>
      <c r="N25" s="154"/>
      <c r="O25" s="154"/>
      <c r="P25" s="105" t="s">
        <v>711</v>
      </c>
      <c r="Q25" s="104" t="s">
        <v>712</v>
      </c>
      <c r="R25" s="91">
        <f>SUM(R4:R5)</f>
        <v>0.01</v>
      </c>
    </row>
    <row r="26" spans="1:21" x14ac:dyDescent="0.2">
      <c r="D26" s="105" t="s">
        <v>1448</v>
      </c>
      <c r="E26" s="104" t="s">
        <v>726</v>
      </c>
      <c r="F26" s="70">
        <f>SUM(F8:F11,F13:F16,F18:F21)</f>
        <v>0.85299999999999998</v>
      </c>
      <c r="G26" s="105" t="s">
        <v>1448</v>
      </c>
      <c r="H26" s="104" t="s">
        <v>726</v>
      </c>
      <c r="I26" s="70">
        <f>SUM(I8:I11,I13:I16,I18:I21)</f>
        <v>0.85299999999999998</v>
      </c>
      <c r="J26" s="154"/>
      <c r="K26" s="154"/>
      <c r="L26" s="154"/>
      <c r="M26" s="154"/>
      <c r="N26" s="154"/>
      <c r="O26" s="154"/>
      <c r="P26" s="105" t="s">
        <v>1448</v>
      </c>
      <c r="Q26" s="104" t="s">
        <v>726</v>
      </c>
      <c r="R26" s="70">
        <f>SUM(R14:R21)</f>
        <v>0.72500000000000009</v>
      </c>
    </row>
    <row r="27" spans="1:21" x14ac:dyDescent="0.2">
      <c r="D27" s="105" t="s">
        <v>931</v>
      </c>
      <c r="E27" s="104" t="s">
        <v>1444</v>
      </c>
      <c r="F27" s="70">
        <f>F22</f>
        <v>1.6E-2</v>
      </c>
      <c r="G27" s="105" t="s">
        <v>931</v>
      </c>
      <c r="H27" s="104" t="s">
        <v>1444</v>
      </c>
      <c r="I27" s="70">
        <f>I22</f>
        <v>1.6E-2</v>
      </c>
      <c r="J27" s="154"/>
      <c r="K27" s="154"/>
      <c r="L27" s="154"/>
      <c r="M27" s="154"/>
      <c r="N27" s="154"/>
      <c r="O27" s="154"/>
      <c r="P27" s="105" t="s">
        <v>931</v>
      </c>
      <c r="Q27" s="104" t="s">
        <v>1445</v>
      </c>
      <c r="R27" s="70">
        <f>R22</f>
        <v>0.1</v>
      </c>
    </row>
    <row r="28" spans="1:21" x14ac:dyDescent="0.2">
      <c r="D28" s="61"/>
      <c r="E28" s="61" t="s">
        <v>744</v>
      </c>
      <c r="F28" s="74">
        <f>SUM(F23:F27)</f>
        <v>1</v>
      </c>
      <c r="G28" s="61"/>
      <c r="H28" s="61" t="s">
        <v>744</v>
      </c>
      <c r="I28" s="74">
        <f>SUM(I23:I27)</f>
        <v>1</v>
      </c>
      <c r="J28" s="154"/>
      <c r="K28" s="154"/>
      <c r="L28" s="154"/>
      <c r="M28" s="154"/>
      <c r="N28" s="154"/>
      <c r="O28" s="154"/>
      <c r="P28" s="61"/>
      <c r="Q28" s="61" t="s">
        <v>744</v>
      </c>
      <c r="R28" s="74">
        <f>SUM(R23:R27)</f>
        <v>1.0000000000000002</v>
      </c>
    </row>
    <row r="29" spans="1:21" x14ac:dyDescent="0.2">
      <c r="A29" s="154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 t="s">
        <v>1455</v>
      </c>
    </row>
  </sheetData>
  <mergeCells count="10">
    <mergeCell ref="AB1:AC1"/>
    <mergeCell ref="Y1:Z1"/>
    <mergeCell ref="S1:T1"/>
    <mergeCell ref="M1:N1"/>
    <mergeCell ref="G1:H1"/>
    <mergeCell ref="A1:B1"/>
    <mergeCell ref="D1:E1"/>
    <mergeCell ref="J1:K1"/>
    <mergeCell ref="P1:Q1"/>
    <mergeCell ref="V1:W1"/>
  </mergeCells>
  <phoneticPr fontId="6" type="noConversion"/>
  <pageMargins left="0.7" right="0.7" top="0.75" bottom="0.75" header="0.3" footer="0.3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9"/>
  <sheetViews>
    <sheetView workbookViewId="0">
      <selection sqref="A1:B1"/>
    </sheetView>
  </sheetViews>
  <sheetFormatPr defaultColWidth="14" defaultRowHeight="12.75" x14ac:dyDescent="0.2"/>
  <cols>
    <col min="1" max="33" width="14" customWidth="1"/>
  </cols>
  <sheetData>
    <row r="1" spans="1:36" x14ac:dyDescent="0.2">
      <c r="A1" s="207">
        <v>46098</v>
      </c>
      <c r="B1" s="207"/>
      <c r="C1" s="146" t="s">
        <v>0</v>
      </c>
      <c r="D1" s="207">
        <v>46063</v>
      </c>
      <c r="E1" s="207"/>
      <c r="F1" s="146" t="s">
        <v>0</v>
      </c>
      <c r="G1" s="207">
        <v>46037</v>
      </c>
      <c r="H1" s="207"/>
      <c r="I1" s="146" t="s">
        <v>0</v>
      </c>
      <c r="J1" s="207">
        <v>46000</v>
      </c>
      <c r="K1" s="207"/>
      <c r="L1" s="146" t="s">
        <v>0</v>
      </c>
      <c r="M1" s="207">
        <v>45960</v>
      </c>
      <c r="N1" s="207"/>
      <c r="O1" s="146" t="s">
        <v>0</v>
      </c>
      <c r="P1" s="207">
        <v>45930</v>
      </c>
      <c r="Q1" s="207"/>
      <c r="R1" s="146" t="s">
        <v>0</v>
      </c>
      <c r="S1" s="207">
        <v>45895</v>
      </c>
      <c r="T1" s="207"/>
      <c r="U1" s="146" t="s">
        <v>0</v>
      </c>
      <c r="V1" s="207">
        <v>45853</v>
      </c>
      <c r="W1" s="207"/>
      <c r="X1" s="146" t="s">
        <v>0</v>
      </c>
      <c r="Y1" s="207">
        <v>45818</v>
      </c>
      <c r="Z1" s="207"/>
      <c r="AA1" s="146" t="s">
        <v>0</v>
      </c>
      <c r="AB1" s="207">
        <v>45776</v>
      </c>
      <c r="AC1" s="207"/>
      <c r="AD1" s="146" t="s">
        <v>0</v>
      </c>
      <c r="AE1" s="195">
        <v>45708</v>
      </c>
      <c r="AF1" s="195"/>
      <c r="AG1" s="34" t="s">
        <v>0</v>
      </c>
      <c r="AH1" s="207">
        <v>45680</v>
      </c>
      <c r="AI1" s="212"/>
      <c r="AJ1" s="146" t="s">
        <v>0</v>
      </c>
    </row>
    <row r="2" spans="1:36" x14ac:dyDescent="0.2">
      <c r="A2" s="50" t="s">
        <v>1456</v>
      </c>
      <c r="B2" s="190" t="s">
        <v>1457</v>
      </c>
      <c r="C2" s="141">
        <v>0.15</v>
      </c>
      <c r="D2" s="188" t="s">
        <v>1456</v>
      </c>
      <c r="E2" s="189" t="s">
        <v>1457</v>
      </c>
      <c r="F2" s="141">
        <v>0.15</v>
      </c>
      <c r="G2" s="12" t="s">
        <v>1295</v>
      </c>
      <c r="H2" s="5" t="s">
        <v>1296</v>
      </c>
      <c r="I2" s="3">
        <v>0.1</v>
      </c>
      <c r="J2" s="188" t="s">
        <v>1295</v>
      </c>
      <c r="K2" s="189" t="s">
        <v>1296</v>
      </c>
      <c r="L2" s="3">
        <v>0.1</v>
      </c>
      <c r="M2" s="12" t="s">
        <v>1297</v>
      </c>
      <c r="N2" s="5" t="s">
        <v>1298</v>
      </c>
      <c r="O2" s="3">
        <v>0.1</v>
      </c>
      <c r="P2" s="82" t="s">
        <v>1297</v>
      </c>
      <c r="Q2" s="82" t="s">
        <v>1298</v>
      </c>
      <c r="R2" s="3">
        <v>0.1</v>
      </c>
      <c r="S2" s="12" t="s">
        <v>1299</v>
      </c>
      <c r="T2" s="5" t="s">
        <v>1300</v>
      </c>
      <c r="U2" s="3">
        <v>0.1</v>
      </c>
      <c r="V2" s="82" t="s">
        <v>1299</v>
      </c>
      <c r="W2" s="82" t="s">
        <v>1300</v>
      </c>
      <c r="X2" s="3">
        <v>0.1</v>
      </c>
      <c r="Y2" s="31" t="s">
        <v>1301</v>
      </c>
      <c r="Z2" s="33" t="s">
        <v>1302</v>
      </c>
      <c r="AA2" s="3">
        <v>0.1</v>
      </c>
      <c r="AB2" s="106" t="s">
        <v>1301</v>
      </c>
      <c r="AC2" s="106" t="s">
        <v>1302</v>
      </c>
      <c r="AD2" s="3">
        <v>0.1</v>
      </c>
      <c r="AE2" s="13" t="s">
        <v>1303</v>
      </c>
      <c r="AF2" s="11" t="s">
        <v>1304</v>
      </c>
      <c r="AG2" s="3">
        <v>8.72E-2</v>
      </c>
      <c r="AH2" s="97" t="s">
        <v>1303</v>
      </c>
      <c r="AI2" s="96" t="s">
        <v>1304</v>
      </c>
      <c r="AJ2" s="3">
        <v>8.72E-2</v>
      </c>
    </row>
    <row r="3" spans="1:36" x14ac:dyDescent="0.2">
      <c r="A3" s="50" t="s">
        <v>1458</v>
      </c>
      <c r="B3" s="190" t="s">
        <v>1459</v>
      </c>
      <c r="C3" s="141">
        <v>0.6</v>
      </c>
      <c r="D3" s="188" t="s">
        <v>1458</v>
      </c>
      <c r="E3" s="189" t="s">
        <v>1459</v>
      </c>
      <c r="F3" s="141">
        <v>0.6</v>
      </c>
      <c r="G3" s="13" t="s">
        <v>1312</v>
      </c>
      <c r="H3" s="5" t="s">
        <v>1313</v>
      </c>
      <c r="I3" s="3">
        <v>0.35</v>
      </c>
      <c r="J3" s="188" t="s">
        <v>1312</v>
      </c>
      <c r="K3" s="189" t="s">
        <v>1313</v>
      </c>
      <c r="L3" s="3">
        <v>0.35</v>
      </c>
      <c r="M3" s="13" t="s">
        <v>1314</v>
      </c>
      <c r="N3" s="11" t="s">
        <v>1315</v>
      </c>
      <c r="O3" s="3">
        <v>0.35</v>
      </c>
      <c r="P3" s="96" t="s">
        <v>1314</v>
      </c>
      <c r="Q3" s="96" t="s">
        <v>1315</v>
      </c>
      <c r="R3" s="3">
        <v>0.35</v>
      </c>
      <c r="S3" s="13" t="s">
        <v>1316</v>
      </c>
      <c r="T3" s="11" t="s">
        <v>1317</v>
      </c>
      <c r="U3" s="3">
        <v>0.35</v>
      </c>
      <c r="V3" s="96" t="s">
        <v>1316</v>
      </c>
      <c r="W3" s="96" t="s">
        <v>1317</v>
      </c>
      <c r="X3" s="3">
        <v>0.35</v>
      </c>
      <c r="Y3" s="31" t="s">
        <v>1318</v>
      </c>
      <c r="Z3" s="33" t="s">
        <v>1319</v>
      </c>
      <c r="AA3" s="3">
        <v>0.35</v>
      </c>
      <c r="AB3" s="106" t="s">
        <v>1318</v>
      </c>
      <c r="AC3" s="106" t="s">
        <v>1319</v>
      </c>
      <c r="AD3" s="3">
        <v>0.35</v>
      </c>
      <c r="AE3" s="13" t="s">
        <v>1320</v>
      </c>
      <c r="AF3" s="11" t="s">
        <v>1321</v>
      </c>
      <c r="AG3" s="3">
        <v>0.35639999999999999</v>
      </c>
      <c r="AH3" s="97" t="s">
        <v>1320</v>
      </c>
      <c r="AI3" s="96" t="s">
        <v>1321</v>
      </c>
      <c r="AJ3" s="3">
        <v>0.35639999999999999</v>
      </c>
    </row>
    <row r="4" spans="1:36" x14ac:dyDescent="0.2">
      <c r="A4" s="50" t="s">
        <v>1460</v>
      </c>
      <c r="B4" s="190" t="s">
        <v>1461</v>
      </c>
      <c r="C4" s="141">
        <v>0.25</v>
      </c>
      <c r="D4" s="188" t="s">
        <v>1460</v>
      </c>
      <c r="E4" s="189" t="s">
        <v>1461</v>
      </c>
      <c r="F4" s="141">
        <v>0.25</v>
      </c>
      <c r="G4" s="13" t="s">
        <v>1329</v>
      </c>
      <c r="H4" s="5" t="s">
        <v>1330</v>
      </c>
      <c r="I4" s="3">
        <v>0.35</v>
      </c>
      <c r="J4" s="188" t="s">
        <v>1329</v>
      </c>
      <c r="K4" s="189" t="s">
        <v>1330</v>
      </c>
      <c r="L4" s="3">
        <v>0.35</v>
      </c>
      <c r="M4" s="13" t="s">
        <v>1331</v>
      </c>
      <c r="N4" s="11" t="s">
        <v>1332</v>
      </c>
      <c r="O4" s="3">
        <v>0.35</v>
      </c>
      <c r="P4" s="96" t="s">
        <v>1331</v>
      </c>
      <c r="Q4" s="96" t="s">
        <v>1332</v>
      </c>
      <c r="R4" s="3">
        <v>0.35</v>
      </c>
      <c r="S4" s="13" t="s">
        <v>1333</v>
      </c>
      <c r="T4" s="11" t="s">
        <v>1334</v>
      </c>
      <c r="U4" s="3">
        <v>0.35</v>
      </c>
      <c r="V4" s="96" t="s">
        <v>1333</v>
      </c>
      <c r="W4" s="96" t="s">
        <v>1334</v>
      </c>
      <c r="X4" s="3">
        <v>0.35</v>
      </c>
      <c r="Y4" s="31" t="s">
        <v>1335</v>
      </c>
      <c r="Z4" s="33" t="s">
        <v>1336</v>
      </c>
      <c r="AA4" s="3">
        <v>0.35</v>
      </c>
      <c r="AB4" s="106" t="s">
        <v>1335</v>
      </c>
      <c r="AC4" s="106" t="s">
        <v>1336</v>
      </c>
      <c r="AD4" s="3">
        <v>0.35</v>
      </c>
      <c r="AE4" s="13" t="s">
        <v>1337</v>
      </c>
      <c r="AF4" s="11" t="s">
        <v>1338</v>
      </c>
      <c r="AG4" s="3">
        <v>0.35639999999999999</v>
      </c>
      <c r="AH4" s="97" t="s">
        <v>1337</v>
      </c>
      <c r="AI4" s="96" t="s">
        <v>1338</v>
      </c>
      <c r="AJ4" s="3">
        <v>0.35639999999999999</v>
      </c>
    </row>
    <row r="5" spans="1:36" ht="25.5" x14ac:dyDescent="0.2">
      <c r="A5" s="126" t="s">
        <v>1362</v>
      </c>
      <c r="B5" s="153" t="s">
        <v>1363</v>
      </c>
      <c r="C5" s="125">
        <f>SUM(C2)</f>
        <v>0.15</v>
      </c>
      <c r="D5" s="126" t="s">
        <v>1362</v>
      </c>
      <c r="E5" s="153" t="s">
        <v>1363</v>
      </c>
      <c r="F5" s="125">
        <f>SUM(F2)</f>
        <v>0.15</v>
      </c>
      <c r="G5" s="11" t="s">
        <v>1346</v>
      </c>
      <c r="H5" s="5" t="s">
        <v>1347</v>
      </c>
      <c r="I5" s="3">
        <v>0.2</v>
      </c>
      <c r="J5" s="188" t="s">
        <v>1346</v>
      </c>
      <c r="K5" s="189" t="s">
        <v>1347</v>
      </c>
      <c r="L5" s="3">
        <v>0.2</v>
      </c>
      <c r="M5" s="13" t="s">
        <v>1348</v>
      </c>
      <c r="N5" s="11" t="s">
        <v>1349</v>
      </c>
      <c r="O5" s="3">
        <v>0.2</v>
      </c>
      <c r="P5" s="96" t="s">
        <v>1348</v>
      </c>
      <c r="Q5" s="96" t="s">
        <v>1349</v>
      </c>
      <c r="R5" s="3">
        <v>0.2</v>
      </c>
      <c r="S5" s="13" t="s">
        <v>1350</v>
      </c>
      <c r="T5" s="11" t="s">
        <v>1351</v>
      </c>
      <c r="U5" s="3">
        <v>0.2</v>
      </c>
      <c r="V5" s="96" t="s">
        <v>1350</v>
      </c>
      <c r="W5" s="96" t="s">
        <v>1351</v>
      </c>
      <c r="X5" s="3">
        <v>0.2</v>
      </c>
      <c r="Y5" s="13" t="s">
        <v>1352</v>
      </c>
      <c r="Z5" s="11" t="s">
        <v>1353</v>
      </c>
      <c r="AA5" s="3">
        <v>0.2</v>
      </c>
      <c r="AB5" s="96" t="s">
        <v>1352</v>
      </c>
      <c r="AC5" s="96" t="s">
        <v>1353</v>
      </c>
      <c r="AD5" s="3">
        <v>0.2</v>
      </c>
      <c r="AE5" s="13" t="s">
        <v>1354</v>
      </c>
      <c r="AF5" s="11" t="s">
        <v>1355</v>
      </c>
      <c r="AG5" s="3">
        <v>0.2</v>
      </c>
      <c r="AH5" s="97" t="s">
        <v>1354</v>
      </c>
      <c r="AI5" s="96" t="s">
        <v>1355</v>
      </c>
      <c r="AJ5" s="3">
        <v>0.2</v>
      </c>
    </row>
    <row r="6" spans="1:36" x14ac:dyDescent="0.2">
      <c r="A6" s="105" t="s">
        <v>1365</v>
      </c>
      <c r="B6" s="104" t="s">
        <v>1366</v>
      </c>
      <c r="C6" s="70">
        <f>SUM(C3)</f>
        <v>0.6</v>
      </c>
      <c r="D6" s="105" t="s">
        <v>1365</v>
      </c>
      <c r="E6" s="104" t="s">
        <v>1366</v>
      </c>
      <c r="F6" s="70">
        <f>SUM(F3)</f>
        <v>0.6</v>
      </c>
      <c r="G6" s="126" t="s">
        <v>1362</v>
      </c>
      <c r="H6" s="153" t="s">
        <v>1363</v>
      </c>
      <c r="I6" s="125">
        <f>SUM(I2)</f>
        <v>0.1</v>
      </c>
      <c r="J6" s="126" t="s">
        <v>1362</v>
      </c>
      <c r="K6" s="153" t="s">
        <v>1363</v>
      </c>
      <c r="L6" s="125">
        <f>SUM(L2)</f>
        <v>0.1</v>
      </c>
      <c r="M6" s="126" t="s">
        <v>1362</v>
      </c>
      <c r="N6" s="153" t="s">
        <v>1363</v>
      </c>
      <c r="O6" s="125">
        <f>SUM(O2)</f>
        <v>0.1</v>
      </c>
      <c r="P6" s="126" t="s">
        <v>1362</v>
      </c>
      <c r="Q6" s="153" t="s">
        <v>1363</v>
      </c>
      <c r="R6" s="125">
        <f>SUM(R2)</f>
        <v>0.1</v>
      </c>
      <c r="S6" s="126" t="s">
        <v>1362</v>
      </c>
      <c r="T6" s="153" t="s">
        <v>1363</v>
      </c>
      <c r="U6" s="125">
        <f>SUM(U2)</f>
        <v>0.1</v>
      </c>
      <c r="V6" s="126" t="s">
        <v>1362</v>
      </c>
      <c r="W6" s="153" t="s">
        <v>1363</v>
      </c>
      <c r="X6" s="125">
        <f>SUM(X2)</f>
        <v>0.1</v>
      </c>
      <c r="Y6" s="126" t="s">
        <v>1362</v>
      </c>
      <c r="Z6" s="153" t="s">
        <v>1363</v>
      </c>
      <c r="AA6" s="125">
        <f>SUM(AA2)</f>
        <v>0.1</v>
      </c>
      <c r="AB6" s="126" t="s">
        <v>1362</v>
      </c>
      <c r="AC6" s="153" t="s">
        <v>1363</v>
      </c>
      <c r="AD6" s="125">
        <f>SUM(AD2)</f>
        <v>0.1</v>
      </c>
      <c r="AE6" s="126" t="s">
        <v>1362</v>
      </c>
      <c r="AF6" s="153" t="s">
        <v>1363</v>
      </c>
      <c r="AG6" s="125">
        <f>SUM(AG2)</f>
        <v>8.72E-2</v>
      </c>
      <c r="AH6" s="126" t="s">
        <v>1362</v>
      </c>
      <c r="AI6" s="153" t="s">
        <v>1363</v>
      </c>
      <c r="AJ6" s="125">
        <f>SUM(AJ2)</f>
        <v>8.72E-2</v>
      </c>
    </row>
    <row r="7" spans="1:36" x14ac:dyDescent="0.2">
      <c r="A7" s="2" t="s">
        <v>1368</v>
      </c>
      <c r="B7" s="104" t="s">
        <v>1369</v>
      </c>
      <c r="C7" s="70">
        <f>SUM(C4)</f>
        <v>0.25</v>
      </c>
      <c r="D7" s="2" t="s">
        <v>1368</v>
      </c>
      <c r="E7" s="104" t="s">
        <v>1369</v>
      </c>
      <c r="F7" s="70">
        <f>SUM(F4)</f>
        <v>0.25</v>
      </c>
      <c r="G7" s="105" t="s">
        <v>1365</v>
      </c>
      <c r="H7" s="104" t="s">
        <v>1366</v>
      </c>
      <c r="I7" s="70">
        <f>SUM(I3:I4)</f>
        <v>0.7</v>
      </c>
      <c r="J7" s="105" t="s">
        <v>1365</v>
      </c>
      <c r="K7" s="104" t="s">
        <v>1366</v>
      </c>
      <c r="L7" s="70">
        <f>SUM(L3:L4)</f>
        <v>0.7</v>
      </c>
      <c r="M7" s="105" t="s">
        <v>1365</v>
      </c>
      <c r="N7" s="104" t="s">
        <v>1366</v>
      </c>
      <c r="O7" s="70">
        <f>SUM(O3:O4)</f>
        <v>0.7</v>
      </c>
      <c r="P7" s="105" t="s">
        <v>1365</v>
      </c>
      <c r="Q7" s="104" t="s">
        <v>1366</v>
      </c>
      <c r="R7" s="70">
        <f>SUM(R3:R4)</f>
        <v>0.7</v>
      </c>
      <c r="S7" s="105" t="s">
        <v>1365</v>
      </c>
      <c r="T7" s="104" t="s">
        <v>1366</v>
      </c>
      <c r="U7" s="70">
        <f>SUM(U3:U4)</f>
        <v>0.7</v>
      </c>
      <c r="V7" s="105" t="s">
        <v>1365</v>
      </c>
      <c r="W7" s="104" t="s">
        <v>1366</v>
      </c>
      <c r="X7" s="70">
        <f>SUM(X3:X4)</f>
        <v>0.7</v>
      </c>
      <c r="Y7" s="105" t="s">
        <v>1365</v>
      </c>
      <c r="Z7" s="104" t="s">
        <v>1366</v>
      </c>
      <c r="AA7" s="70">
        <f>SUM(AA3:AA4)</f>
        <v>0.7</v>
      </c>
      <c r="AB7" s="105" t="s">
        <v>1365</v>
      </c>
      <c r="AC7" s="104" t="s">
        <v>1366</v>
      </c>
      <c r="AD7" s="70">
        <f>SUM(AD3:AD4)</f>
        <v>0.7</v>
      </c>
      <c r="AE7" s="105" t="s">
        <v>1365</v>
      </c>
      <c r="AF7" s="104" t="s">
        <v>1366</v>
      </c>
      <c r="AG7" s="70">
        <f>SUM(AG3:AG4)</f>
        <v>0.71279999999999999</v>
      </c>
      <c r="AH7" s="105" t="s">
        <v>1365</v>
      </c>
      <c r="AI7" s="104" t="s">
        <v>1366</v>
      </c>
      <c r="AJ7" s="70">
        <f>SUM(AJ3:AJ4)</f>
        <v>0.71279999999999999</v>
      </c>
    </row>
    <row r="8" spans="1:36" x14ac:dyDescent="0.2">
      <c r="A8" s="52"/>
      <c r="B8" s="52" t="s">
        <v>744</v>
      </c>
      <c r="C8" s="74">
        <f>SUM(C5:C7)</f>
        <v>1</v>
      </c>
      <c r="D8" s="52"/>
      <c r="E8" s="52" t="s">
        <v>744</v>
      </c>
      <c r="F8" s="74">
        <f>SUM(F5:F7)</f>
        <v>1</v>
      </c>
      <c r="G8" s="2" t="s">
        <v>1368</v>
      </c>
      <c r="H8" s="104" t="s">
        <v>1369</v>
      </c>
      <c r="I8" s="70">
        <f>SUM(I5)</f>
        <v>0.2</v>
      </c>
      <c r="J8" s="2" t="s">
        <v>1368</v>
      </c>
      <c r="K8" s="104" t="s">
        <v>1369</v>
      </c>
      <c r="L8" s="70">
        <f>SUM(L5)</f>
        <v>0.2</v>
      </c>
      <c r="M8" s="2" t="s">
        <v>1368</v>
      </c>
      <c r="N8" s="104" t="s">
        <v>1369</v>
      </c>
      <c r="O8" s="70">
        <f>SUM(O5)</f>
        <v>0.2</v>
      </c>
      <c r="P8" s="2" t="s">
        <v>1368</v>
      </c>
      <c r="Q8" s="104" t="s">
        <v>1369</v>
      </c>
      <c r="R8" s="70">
        <f>SUM(R5)</f>
        <v>0.2</v>
      </c>
      <c r="S8" s="2" t="s">
        <v>1368</v>
      </c>
      <c r="T8" s="104" t="s">
        <v>1369</v>
      </c>
      <c r="U8" s="70">
        <f>SUM(U5)</f>
        <v>0.2</v>
      </c>
      <c r="V8" s="2" t="s">
        <v>1368</v>
      </c>
      <c r="W8" s="104" t="s">
        <v>1369</v>
      </c>
      <c r="X8" s="70">
        <f>SUM(X5)</f>
        <v>0.2</v>
      </c>
      <c r="Y8" s="2" t="s">
        <v>1368</v>
      </c>
      <c r="Z8" s="104" t="s">
        <v>1369</v>
      </c>
      <c r="AA8" s="70">
        <f>SUM(AA5)</f>
        <v>0.2</v>
      </c>
      <c r="AB8" s="2" t="s">
        <v>1368</v>
      </c>
      <c r="AC8" s="104" t="s">
        <v>1369</v>
      </c>
      <c r="AD8" s="70">
        <f>SUM(AD5)</f>
        <v>0.2</v>
      </c>
      <c r="AE8" s="2" t="s">
        <v>1368</v>
      </c>
      <c r="AF8" s="104" t="s">
        <v>1369</v>
      </c>
      <c r="AG8" s="70">
        <f>SUM(AG5)</f>
        <v>0.2</v>
      </c>
      <c r="AH8" s="2" t="s">
        <v>1368</v>
      </c>
      <c r="AI8" s="104" t="s">
        <v>1369</v>
      </c>
      <c r="AJ8" s="70">
        <f>SUM(AJ5)</f>
        <v>0.2</v>
      </c>
    </row>
    <row r="9" spans="1:36" x14ac:dyDescent="0.2">
      <c r="G9" s="52"/>
      <c r="H9" s="52" t="s">
        <v>744</v>
      </c>
      <c r="I9" s="74">
        <f>SUM(I6:I8)</f>
        <v>1</v>
      </c>
      <c r="J9" s="52"/>
      <c r="K9" s="52" t="s">
        <v>744</v>
      </c>
      <c r="L9" s="74">
        <f>SUM(L6:L8)</f>
        <v>1</v>
      </c>
      <c r="M9" s="52"/>
      <c r="N9" s="52" t="s">
        <v>744</v>
      </c>
      <c r="O9" s="74">
        <f>SUM(O6:O8)</f>
        <v>1</v>
      </c>
      <c r="P9" s="52"/>
      <c r="Q9" s="52" t="s">
        <v>744</v>
      </c>
      <c r="R9" s="74">
        <f>SUM(R6:R8)</f>
        <v>1</v>
      </c>
      <c r="S9" s="52"/>
      <c r="T9" s="52" t="s">
        <v>744</v>
      </c>
      <c r="U9" s="74">
        <f>SUM(U6:U8)</f>
        <v>1</v>
      </c>
      <c r="V9" s="52"/>
      <c r="W9" s="52" t="s">
        <v>744</v>
      </c>
      <c r="X9" s="74">
        <f>SUM(X6:X8)</f>
        <v>1</v>
      </c>
      <c r="Y9" s="52"/>
      <c r="Z9" s="52" t="s">
        <v>744</v>
      </c>
      <c r="AA9" s="74">
        <f>SUM(AA6:AA8)</f>
        <v>1</v>
      </c>
      <c r="AB9" s="52"/>
      <c r="AC9" s="52" t="s">
        <v>744</v>
      </c>
      <c r="AD9" s="74">
        <f>SUM(AD6:AD8)</f>
        <v>1</v>
      </c>
      <c r="AE9" s="52"/>
      <c r="AF9" s="52" t="s">
        <v>744</v>
      </c>
      <c r="AG9" s="74">
        <f>SUM(AG6:AG8)</f>
        <v>1</v>
      </c>
      <c r="AH9" s="52"/>
      <c r="AI9" s="52" t="s">
        <v>744</v>
      </c>
      <c r="AJ9" s="74">
        <f>SUM(AJ6:AJ8)</f>
        <v>1</v>
      </c>
    </row>
  </sheetData>
  <mergeCells count="12">
    <mergeCell ref="A1:B1"/>
    <mergeCell ref="AH1:AI1"/>
    <mergeCell ref="AE1:AF1"/>
    <mergeCell ref="Y1:Z1"/>
    <mergeCell ref="S1:T1"/>
    <mergeCell ref="M1:N1"/>
    <mergeCell ref="D1:E1"/>
    <mergeCell ref="J1:K1"/>
    <mergeCell ref="P1:Q1"/>
    <mergeCell ref="V1:W1"/>
    <mergeCell ref="AB1:AC1"/>
    <mergeCell ref="G1:H1"/>
  </mergeCells>
  <phoneticPr fontId="6" type="noConversion"/>
  <pageMargins left="0.7" right="0.7" top="0.75" bottom="0.75" header="0.3" footer="0.3"/>
  <picture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3"/>
  <sheetViews>
    <sheetView tabSelected="1" workbookViewId="0">
      <selection sqref="A1:B1"/>
    </sheetView>
  </sheetViews>
  <sheetFormatPr defaultColWidth="14" defaultRowHeight="12.75" x14ac:dyDescent="0.2"/>
  <cols>
    <col min="1" max="19" width="21" customWidth="1"/>
    <col min="20" max="20" width="29" customWidth="1"/>
  </cols>
  <sheetData>
    <row r="1" spans="1:21" x14ac:dyDescent="0.2">
      <c r="A1" s="212">
        <v>46098</v>
      </c>
      <c r="B1" s="212"/>
      <c r="C1" s="146" t="s">
        <v>0</v>
      </c>
      <c r="D1" s="212">
        <v>46063</v>
      </c>
      <c r="E1" s="212"/>
      <c r="F1" s="146" t="s">
        <v>0</v>
      </c>
      <c r="G1" s="212">
        <v>46000</v>
      </c>
      <c r="H1" s="212"/>
      <c r="I1" s="146" t="s">
        <v>0</v>
      </c>
      <c r="J1" s="212">
        <v>45960</v>
      </c>
      <c r="K1" s="212"/>
      <c r="L1" s="146" t="s">
        <v>0</v>
      </c>
      <c r="M1" s="212">
        <v>45930</v>
      </c>
      <c r="N1" s="212"/>
      <c r="O1" s="149" t="s">
        <v>0</v>
      </c>
      <c r="P1" s="212">
        <v>45853</v>
      </c>
      <c r="Q1" s="212"/>
      <c r="R1" s="149" t="s">
        <v>0</v>
      </c>
      <c r="S1" s="212">
        <v>45818</v>
      </c>
      <c r="T1" s="212"/>
      <c r="U1" s="149" t="s">
        <v>0</v>
      </c>
    </row>
    <row r="2" spans="1:21" x14ac:dyDescent="0.2">
      <c r="A2" s="175" t="s">
        <v>1462</v>
      </c>
      <c r="B2" s="175" t="s">
        <v>1463</v>
      </c>
      <c r="C2" s="14">
        <v>0.06</v>
      </c>
      <c r="D2" s="12" t="s">
        <v>1464</v>
      </c>
      <c r="E2" s="5" t="s">
        <v>1465</v>
      </c>
      <c r="F2" s="3">
        <v>5.4100000000000002E-2</v>
      </c>
      <c r="G2" s="162" t="s">
        <v>1466</v>
      </c>
      <c r="H2" s="191" t="s">
        <v>1467</v>
      </c>
      <c r="I2" s="3">
        <v>5.7599999999999998E-2</v>
      </c>
      <c r="J2" s="15" t="s">
        <v>1</v>
      </c>
      <c r="K2" s="17" t="s">
        <v>2</v>
      </c>
      <c r="L2" s="3">
        <v>6.8000000000000005E-2</v>
      </c>
      <c r="M2" s="15" t="s">
        <v>5</v>
      </c>
      <c r="N2" s="9" t="s">
        <v>6</v>
      </c>
      <c r="O2" s="3">
        <v>7.5999999999999998E-2</v>
      </c>
      <c r="P2" s="12" t="s">
        <v>1468</v>
      </c>
      <c r="Q2" s="5" t="s">
        <v>1372</v>
      </c>
      <c r="R2" s="55">
        <v>0.15</v>
      </c>
      <c r="S2" s="5" t="s">
        <v>1468</v>
      </c>
      <c r="T2" s="5" t="s">
        <v>1372</v>
      </c>
      <c r="U2" s="55">
        <v>0.15</v>
      </c>
    </row>
    <row r="3" spans="1:21" x14ac:dyDescent="0.2">
      <c r="A3" s="178" t="s">
        <v>1469</v>
      </c>
      <c r="B3" s="178" t="s">
        <v>1470</v>
      </c>
      <c r="C3" s="14">
        <v>0.16</v>
      </c>
      <c r="D3" s="12" t="s">
        <v>1471</v>
      </c>
      <c r="E3" s="5" t="s">
        <v>1472</v>
      </c>
      <c r="F3" s="3">
        <v>0.1351</v>
      </c>
      <c r="G3" s="162" t="s">
        <v>1473</v>
      </c>
      <c r="H3" s="191" t="s">
        <v>1474</v>
      </c>
      <c r="I3" s="3">
        <v>0.1552</v>
      </c>
      <c r="J3" s="15" t="s">
        <v>144</v>
      </c>
      <c r="K3" s="17" t="s">
        <v>145</v>
      </c>
      <c r="L3" s="3">
        <v>0.16600000000000001</v>
      </c>
      <c r="M3" s="15" t="s">
        <v>3</v>
      </c>
      <c r="N3" s="9" t="s">
        <v>4</v>
      </c>
      <c r="O3" s="3">
        <v>7.5999999999999998E-2</v>
      </c>
      <c r="P3" s="12" t="s">
        <v>1475</v>
      </c>
      <c r="Q3" s="5" t="s">
        <v>1376</v>
      </c>
      <c r="R3" s="55">
        <v>0.21249999999999999</v>
      </c>
      <c r="S3" s="5" t="s">
        <v>1475</v>
      </c>
      <c r="T3" s="5" t="s">
        <v>1376</v>
      </c>
      <c r="U3" s="55">
        <v>0.21249999999999999</v>
      </c>
    </row>
    <row r="4" spans="1:21" x14ac:dyDescent="0.2">
      <c r="A4" s="178" t="s">
        <v>1476</v>
      </c>
      <c r="B4" s="178" t="s">
        <v>1477</v>
      </c>
      <c r="C4" s="14">
        <v>0.16</v>
      </c>
      <c r="D4" s="12" t="s">
        <v>1478</v>
      </c>
      <c r="E4" s="5" t="s">
        <v>1479</v>
      </c>
      <c r="F4" s="3">
        <v>0.1351</v>
      </c>
      <c r="G4" s="162" t="s">
        <v>1480</v>
      </c>
      <c r="H4" s="191" t="s">
        <v>1481</v>
      </c>
      <c r="I4" s="3">
        <v>0.1552</v>
      </c>
      <c r="J4" s="19" t="s">
        <v>159</v>
      </c>
      <c r="K4" s="24" t="s">
        <v>160</v>
      </c>
      <c r="L4" s="3">
        <v>0.16600000000000001</v>
      </c>
      <c r="M4" s="19" t="s">
        <v>146</v>
      </c>
      <c r="N4" s="18" t="s">
        <v>147</v>
      </c>
      <c r="O4" s="3">
        <v>0.19819999999999999</v>
      </c>
      <c r="P4" s="12" t="s">
        <v>1482</v>
      </c>
      <c r="Q4" s="5" t="s">
        <v>1380</v>
      </c>
      <c r="R4" s="55">
        <v>0.21249999999999999</v>
      </c>
      <c r="S4" s="5" t="s">
        <v>1482</v>
      </c>
      <c r="T4" s="5" t="s">
        <v>1380</v>
      </c>
      <c r="U4" s="55">
        <v>0.21249999999999999</v>
      </c>
    </row>
    <row r="5" spans="1:21" x14ac:dyDescent="0.2">
      <c r="A5" s="170" t="s">
        <v>1483</v>
      </c>
      <c r="B5" s="170" t="s">
        <v>1484</v>
      </c>
      <c r="C5" s="14">
        <v>0.32</v>
      </c>
      <c r="D5" s="12" t="s">
        <v>1485</v>
      </c>
      <c r="E5" s="5" t="s">
        <v>1486</v>
      </c>
      <c r="F5" s="3">
        <v>0.1351</v>
      </c>
      <c r="G5" s="162" t="s">
        <v>1187</v>
      </c>
      <c r="H5" s="191" t="s">
        <v>1188</v>
      </c>
      <c r="I5" s="3">
        <v>0.33260000000000001</v>
      </c>
      <c r="J5" s="19" t="s">
        <v>1189</v>
      </c>
      <c r="K5" s="24" t="s">
        <v>1190</v>
      </c>
      <c r="L5" s="177">
        <v>0.3</v>
      </c>
      <c r="M5" s="19" t="s">
        <v>161</v>
      </c>
      <c r="N5" s="18" t="s">
        <v>162</v>
      </c>
      <c r="O5" s="3">
        <v>0.19819999999999999</v>
      </c>
      <c r="P5" s="12" t="s">
        <v>1487</v>
      </c>
      <c r="Q5" s="5" t="s">
        <v>1384</v>
      </c>
      <c r="R5" s="55">
        <v>0.21249999999999999</v>
      </c>
      <c r="S5" s="5" t="s">
        <v>1487</v>
      </c>
      <c r="T5" s="5" t="s">
        <v>1384</v>
      </c>
      <c r="U5" s="55">
        <v>0.21249999999999999</v>
      </c>
    </row>
    <row r="6" spans="1:21" x14ac:dyDescent="0.2">
      <c r="A6" s="173" t="s">
        <v>1488</v>
      </c>
      <c r="B6" s="173" t="s">
        <v>1489</v>
      </c>
      <c r="C6" s="14">
        <v>0.3</v>
      </c>
      <c r="D6" s="12" t="s">
        <v>962</v>
      </c>
      <c r="E6" s="5" t="s">
        <v>963</v>
      </c>
      <c r="F6" s="3">
        <v>0.27029999999999998</v>
      </c>
      <c r="G6" s="162" t="s">
        <v>966</v>
      </c>
      <c r="H6" s="191" t="s">
        <v>967</v>
      </c>
      <c r="I6" s="46">
        <v>0.29930000000000001</v>
      </c>
      <c r="J6" s="15" t="s">
        <v>61</v>
      </c>
      <c r="K6" s="17" t="s">
        <v>62</v>
      </c>
      <c r="L6" s="177">
        <v>0.3</v>
      </c>
      <c r="M6" s="15" t="s">
        <v>63</v>
      </c>
      <c r="N6" s="9" t="s">
        <v>64</v>
      </c>
      <c r="O6" s="3">
        <v>0.24640000000000001</v>
      </c>
      <c r="P6" s="12" t="s">
        <v>67</v>
      </c>
      <c r="Q6" s="5" t="s">
        <v>68</v>
      </c>
      <c r="R6" s="55">
        <v>0.21249999999999999</v>
      </c>
      <c r="S6" s="5" t="s">
        <v>67</v>
      </c>
      <c r="T6" s="5" t="s">
        <v>68</v>
      </c>
      <c r="U6" s="55">
        <v>0.21249999999999999</v>
      </c>
    </row>
    <row r="7" spans="1:21" x14ac:dyDescent="0.2">
      <c r="A7" s="126" t="s">
        <v>665</v>
      </c>
      <c r="B7" s="153" t="s">
        <v>666</v>
      </c>
      <c r="C7" s="125">
        <f>C2</f>
        <v>0.06</v>
      </c>
      <c r="D7" s="5" t="s">
        <v>1183</v>
      </c>
      <c r="E7" s="5" t="s">
        <v>1184</v>
      </c>
      <c r="F7" s="3">
        <v>0.27029999999999998</v>
      </c>
      <c r="G7" s="126" t="s">
        <v>665</v>
      </c>
      <c r="H7" s="153" t="s">
        <v>666</v>
      </c>
      <c r="I7" s="125">
        <f>I2</f>
        <v>5.7599999999999998E-2</v>
      </c>
      <c r="J7" s="126" t="s">
        <v>665</v>
      </c>
      <c r="K7" s="153" t="s">
        <v>666</v>
      </c>
      <c r="L7" s="125">
        <f>L2</f>
        <v>6.8000000000000005E-2</v>
      </c>
      <c r="M7" s="9" t="s">
        <v>1203</v>
      </c>
      <c r="N7" s="9" t="s">
        <v>1204</v>
      </c>
      <c r="O7" s="3">
        <v>0.20530000000000001</v>
      </c>
      <c r="P7" s="126" t="s">
        <v>665</v>
      </c>
      <c r="Q7" s="153" t="s">
        <v>666</v>
      </c>
      <c r="R7" s="70">
        <f>SUM(R2)</f>
        <v>0.15</v>
      </c>
      <c r="S7" s="153" t="s">
        <v>665</v>
      </c>
      <c r="T7" s="153" t="s">
        <v>666</v>
      </c>
      <c r="U7" s="70">
        <f>SUM(U2)</f>
        <v>0.15</v>
      </c>
    </row>
    <row r="8" spans="1:21" x14ac:dyDescent="0.2">
      <c r="A8" s="153" t="s">
        <v>711</v>
      </c>
      <c r="B8" s="153" t="s">
        <v>712</v>
      </c>
      <c r="C8" s="125">
        <f>SUM(C3:C4)</f>
        <v>0.32</v>
      </c>
      <c r="D8" s="126" t="s">
        <v>665</v>
      </c>
      <c r="E8" s="153" t="s">
        <v>666</v>
      </c>
      <c r="F8" s="125">
        <f>F2</f>
        <v>5.4100000000000002E-2</v>
      </c>
      <c r="G8" s="153" t="s">
        <v>711</v>
      </c>
      <c r="H8" s="153" t="s">
        <v>712</v>
      </c>
      <c r="I8" s="125">
        <f>SUM(I3:I4)</f>
        <v>0.31040000000000001</v>
      </c>
      <c r="J8" s="153" t="s">
        <v>711</v>
      </c>
      <c r="K8" s="153" t="s">
        <v>712</v>
      </c>
      <c r="L8" s="125">
        <f>SUM(L3:L4)</f>
        <v>0.33200000000000002</v>
      </c>
      <c r="M8" s="126" t="s">
        <v>665</v>
      </c>
      <c r="N8" s="153" t="s">
        <v>666</v>
      </c>
      <c r="O8" s="70">
        <f>SUM(O2:O3)</f>
        <v>0.152</v>
      </c>
      <c r="P8" s="153" t="s">
        <v>711</v>
      </c>
      <c r="Q8" s="153" t="s">
        <v>712</v>
      </c>
      <c r="R8" s="125">
        <f>SUM(R3:R4)</f>
        <v>0.42499999999999999</v>
      </c>
      <c r="S8" s="153" t="s">
        <v>711</v>
      </c>
      <c r="T8" s="153" t="s">
        <v>712</v>
      </c>
      <c r="U8" s="125">
        <f>SUM(U3:U4)</f>
        <v>0.42499999999999999</v>
      </c>
    </row>
    <row r="9" spans="1:21" x14ac:dyDescent="0.2">
      <c r="A9" s="2" t="s">
        <v>1225</v>
      </c>
      <c r="B9" s="104" t="s">
        <v>1224</v>
      </c>
      <c r="C9" s="70">
        <f>SUM(C5)</f>
        <v>0.32</v>
      </c>
      <c r="D9" s="153" t="s">
        <v>711</v>
      </c>
      <c r="E9" s="153" t="s">
        <v>712</v>
      </c>
      <c r="F9" s="125">
        <f>SUM(F3:F5)</f>
        <v>0.40529999999999999</v>
      </c>
      <c r="G9" s="2" t="s">
        <v>1225</v>
      </c>
      <c r="H9" s="104" t="s">
        <v>1224</v>
      </c>
      <c r="I9" s="70">
        <f>SUM(I5)</f>
        <v>0.33260000000000001</v>
      </c>
      <c r="J9" s="2" t="s">
        <v>1225</v>
      </c>
      <c r="K9" s="104" t="s">
        <v>1224</v>
      </c>
      <c r="L9" s="70">
        <f>SUM(L5)</f>
        <v>0.3</v>
      </c>
      <c r="M9" s="153" t="s">
        <v>711</v>
      </c>
      <c r="N9" s="153" t="s">
        <v>712</v>
      </c>
      <c r="O9" s="125">
        <f>SUM(O4:O5)</f>
        <v>0.39639999999999997</v>
      </c>
      <c r="P9" s="2" t="s">
        <v>1225</v>
      </c>
      <c r="Q9" s="104" t="s">
        <v>1224</v>
      </c>
      <c r="R9" s="70">
        <f>SUM(R5)</f>
        <v>0.21249999999999999</v>
      </c>
      <c r="S9" s="2" t="s">
        <v>1225</v>
      </c>
      <c r="T9" s="104" t="s">
        <v>1224</v>
      </c>
      <c r="U9" s="70">
        <f>SUM(U5)</f>
        <v>0.21249999999999999</v>
      </c>
    </row>
    <row r="10" spans="1:21" x14ac:dyDescent="0.2">
      <c r="A10" s="2" t="s">
        <v>696</v>
      </c>
      <c r="B10" s="104" t="s">
        <v>697</v>
      </c>
      <c r="C10" s="70">
        <f>SUM(C6)</f>
        <v>0.3</v>
      </c>
      <c r="D10" s="2" t="s">
        <v>1225</v>
      </c>
      <c r="E10" s="104" t="s">
        <v>1224</v>
      </c>
      <c r="F10" s="70">
        <f>SUM(F7)</f>
        <v>0.27029999999999998</v>
      </c>
      <c r="G10" s="2" t="s">
        <v>696</v>
      </c>
      <c r="H10" s="104" t="s">
        <v>697</v>
      </c>
      <c r="I10" s="70">
        <f>SUM(I6)</f>
        <v>0.29930000000000001</v>
      </c>
      <c r="J10" s="2" t="s">
        <v>696</v>
      </c>
      <c r="K10" s="104" t="s">
        <v>697</v>
      </c>
      <c r="L10" s="70">
        <f>SUM(L6)</f>
        <v>0.3</v>
      </c>
      <c r="M10" s="2" t="s">
        <v>1225</v>
      </c>
      <c r="N10" s="104" t="s">
        <v>1224</v>
      </c>
      <c r="O10" s="70">
        <f>SUM(O7)</f>
        <v>0.20530000000000001</v>
      </c>
      <c r="P10" s="2" t="s">
        <v>696</v>
      </c>
      <c r="Q10" s="104" t="s">
        <v>697</v>
      </c>
      <c r="R10" s="70">
        <f>SUM(R6)</f>
        <v>0.21249999999999999</v>
      </c>
      <c r="S10" s="2" t="s">
        <v>696</v>
      </c>
      <c r="T10" s="104" t="s">
        <v>697</v>
      </c>
      <c r="U10" s="70">
        <f>SUM(U6)</f>
        <v>0.21249999999999999</v>
      </c>
    </row>
    <row r="11" spans="1:21" x14ac:dyDescent="0.2">
      <c r="A11" s="52"/>
      <c r="B11" s="52" t="s">
        <v>744</v>
      </c>
      <c r="C11" s="74">
        <f>SUM(C7:C10)</f>
        <v>1</v>
      </c>
      <c r="D11" s="2" t="s">
        <v>696</v>
      </c>
      <c r="E11" s="104" t="s">
        <v>697</v>
      </c>
      <c r="F11" s="70">
        <f>SUM(F6)</f>
        <v>0.27029999999999998</v>
      </c>
      <c r="G11" s="52"/>
      <c r="H11" s="52" t="s">
        <v>744</v>
      </c>
      <c r="I11" s="74">
        <f>SUM(I7:I10)</f>
        <v>0.99990000000000001</v>
      </c>
      <c r="J11" s="52"/>
      <c r="K11" s="52" t="s">
        <v>744</v>
      </c>
      <c r="L11" s="74">
        <f>SUM(L7:L10)</f>
        <v>1</v>
      </c>
      <c r="M11" s="2" t="s">
        <v>696</v>
      </c>
      <c r="N11" s="104" t="s">
        <v>697</v>
      </c>
      <c r="O11" s="70">
        <f>SUM(O6)</f>
        <v>0.24640000000000001</v>
      </c>
      <c r="P11" s="52"/>
      <c r="Q11" s="52" t="s">
        <v>744</v>
      </c>
      <c r="R11" s="74">
        <f>SUM(R7:R10)</f>
        <v>1</v>
      </c>
      <c r="S11" s="52"/>
      <c r="T11" s="52" t="s">
        <v>744</v>
      </c>
      <c r="U11" s="74">
        <f>SUM(U7:U10)</f>
        <v>1</v>
      </c>
    </row>
    <row r="12" spans="1:21" x14ac:dyDescent="0.2">
      <c r="A12" s="154"/>
      <c r="B12" s="154"/>
      <c r="C12" s="154"/>
      <c r="D12" s="52"/>
      <c r="E12" s="52" t="s">
        <v>744</v>
      </c>
      <c r="F12" s="74">
        <f>SUM(F8:F11)</f>
        <v>1</v>
      </c>
      <c r="G12" s="154"/>
      <c r="H12" s="154"/>
      <c r="I12" s="154"/>
      <c r="J12" s="154"/>
      <c r="K12" s="154"/>
      <c r="L12" s="154"/>
      <c r="M12" s="52"/>
      <c r="N12" s="52" t="s">
        <v>744</v>
      </c>
      <c r="O12" s="74">
        <f>SUM(O8:O11)</f>
        <v>1.0001</v>
      </c>
      <c r="P12" s="154" t="s">
        <v>1414</v>
      </c>
    </row>
    <row r="13" spans="1:21" x14ac:dyDescent="0.2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 t="s">
        <v>1455</v>
      </c>
    </row>
  </sheetData>
  <mergeCells count="7">
    <mergeCell ref="A1:B1"/>
    <mergeCell ref="D1:E1"/>
    <mergeCell ref="J1:K1"/>
    <mergeCell ref="P1:Q1"/>
    <mergeCell ref="S1:T1"/>
    <mergeCell ref="M1:N1"/>
    <mergeCell ref="G1:H1"/>
  </mergeCells>
  <phoneticPr fontId="6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DP1</vt:lpstr>
      <vt:lpstr>DP2</vt:lpstr>
      <vt:lpstr>DP3</vt:lpstr>
      <vt:lpstr>DP4</vt:lpstr>
      <vt:lpstr>DP5</vt:lpstr>
      <vt:lpstr>DP6</vt:lpstr>
      <vt:lpstr>DP7</vt:lpstr>
      <vt:lpstr>DP8</vt:lpstr>
      <vt:lpstr>DP9</vt:lpstr>
      <vt:lpstr>DP10</vt:lpstr>
      <vt:lpstr>DP11</vt:lpstr>
      <vt:lpstr>DP12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leo1.chen</cp:lastModifiedBy>
  <dcterms:modified xsi:type="dcterms:W3CDTF">2026-04-02T07:13:22Z</dcterms:modified>
</cp:coreProperties>
</file>